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mberto Oliveira\Documents\"/>
    </mc:Choice>
  </mc:AlternateContent>
  <xr:revisionPtr revIDLastSave="0" documentId="13_ncr:1_{E02D401E-16DF-4CDE-B7B5-98E953575766}" xr6:coauthVersionLast="47" xr6:coauthVersionMax="47" xr10:uidLastSave="{00000000-0000-0000-0000-000000000000}"/>
  <bookViews>
    <workbookView xWindow="-120" yWindow="-120" windowWidth="20730" windowHeight="11160" activeTab="3" xr2:uid="{D9C4B8FF-027A-4CB1-B386-208EFE2087CE}"/>
  </bookViews>
  <sheets>
    <sheet name="Validação" sheetId="6" r:id="rId1"/>
    <sheet name="Postagem" sheetId="5" r:id="rId2"/>
    <sheet name="Ações" sheetId="4" r:id="rId3"/>
    <sheet name="Score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6" l="1" a="1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B9" i="1" l="1" a="1"/>
  <c r="B21" i="1" a="1"/>
  <c r="B20" i="1" a="1"/>
  <c r="B15" i="1" a="1"/>
  <c r="B11" i="1" a="1"/>
  <c r="B12" i="1" a="1"/>
  <c r="B13" i="1" a="1"/>
  <c r="B6" i="1" a="1"/>
  <c r="B8" i="1" a="1"/>
  <c r="B10" i="1" a="1"/>
  <c r="B5" i="1" a="1"/>
  <c r="B19" i="1" a="1"/>
  <c r="B14" i="1" a="1"/>
  <c r="B7" i="1" a="1"/>
  <c r="B4" i="1" a="1"/>
  <c r="B18" i="1" a="1"/>
  <c r="B17" i="1" a="1"/>
  <c r="B16" i="1" a="1"/>
  <c r="F9" i="1" l="1" a="1"/>
  <c r="D9" i="1" a="1"/>
  <c r="F21" i="1" a="1"/>
  <c r="D21" i="1" a="1"/>
  <c r="F20" i="1" a="1"/>
  <c r="D20" i="1" a="1"/>
  <c r="F15" i="1" a="1"/>
  <c r="D15" i="1" a="1"/>
  <c r="F11" i="1" a="1"/>
  <c r="G11" i="1" s="1"/>
  <c r="D11" i="1" a="1"/>
  <c r="F12" i="1" a="1"/>
  <c r="D12" i="1" a="1"/>
  <c r="F13" i="1" a="1"/>
  <c r="D13" i="1" a="1"/>
  <c r="F6" i="1" a="1"/>
  <c r="D6" i="1" a="1"/>
  <c r="F8" i="1" a="1"/>
  <c r="D8" i="1" a="1"/>
  <c r="F10" i="1" a="1"/>
  <c r="D10" i="1" a="1"/>
  <c r="F5" i="1" a="1"/>
  <c r="D5" i="1" a="1"/>
  <c r="F19" i="1" a="1"/>
  <c r="D19" i="1" a="1"/>
  <c r="F14" i="1" a="1"/>
  <c r="D14" i="1" a="1"/>
  <c r="F7" i="1" a="1"/>
  <c r="D7" i="1" a="1"/>
  <c r="F4" i="1" a="1"/>
  <c r="D4" i="1" a="1"/>
  <c r="F18" i="1" a="1"/>
  <c r="D18" i="1" a="1"/>
  <c r="F17" i="1" a="1"/>
  <c r="D17" i="1" a="1"/>
  <c r="F16" i="1" a="1"/>
  <c r="D16" i="1" a="1"/>
  <c r="G7" i="1" l="1"/>
  <c r="G9" i="1"/>
  <c r="G21" i="1"/>
  <c r="G20" i="1"/>
  <c r="G15" i="1"/>
  <c r="G5" i="1"/>
  <c r="G14" i="1"/>
  <c r="G16" i="1"/>
  <c r="G12" i="1"/>
  <c r="G13" i="1"/>
  <c r="G6" i="1"/>
  <c r="G8" i="1"/>
  <c r="G10" i="1"/>
  <c r="G19" i="1"/>
  <c r="G18" i="1"/>
  <c r="G17" i="1"/>
  <c r="G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<sst xmlns="http://schemas.openxmlformats.org/spreadsheetml/2006/main" count="529" uniqueCount="253">
  <si>
    <t>Ações Sustentáveis</t>
  </si>
  <si>
    <t>Ação</t>
  </si>
  <si>
    <t>Impacto</t>
  </si>
  <si>
    <t>Frequência</t>
  </si>
  <si>
    <t>Dificuldade</t>
  </si>
  <si>
    <t>Confiabilidade</t>
  </si>
  <si>
    <t>Score</t>
  </si>
  <si>
    <t>Categoria</t>
  </si>
  <si>
    <t>Separar resíduos recicláveis em casa</t>
  </si>
  <si>
    <t>Reciclagem</t>
  </si>
  <si>
    <t>Levar papel para reciclagem</t>
  </si>
  <si>
    <t>Descarte Correto</t>
  </si>
  <si>
    <t>Reutilização</t>
  </si>
  <si>
    <t>Economia de Água</t>
  </si>
  <si>
    <t>Reaproveitamento</t>
  </si>
  <si>
    <t>Economia de Energia</t>
  </si>
  <si>
    <t>Energia Renovável</t>
  </si>
  <si>
    <t>Conservação</t>
  </si>
  <si>
    <t>Consumo Consciente</t>
  </si>
  <si>
    <t>Ação Coletiva</t>
  </si>
  <si>
    <t>Levar papelão para reciclagem</t>
  </si>
  <si>
    <t>Levar garrafas PET para reciclagem</t>
  </si>
  <si>
    <t>Levar latas de alumínio para reciclagem</t>
  </si>
  <si>
    <t>Levar garrafas de vidro para reciclagem</t>
  </si>
  <si>
    <t>Separar embalagens longa vida</t>
  </si>
  <si>
    <t>Descartar pilhas em ponto de coleta adequado</t>
  </si>
  <si>
    <t>Descartar baterias em ponto de coleta adequado</t>
  </si>
  <si>
    <t>Reciclar óleo de cozinha usado</t>
  </si>
  <si>
    <t>Entregar medicamentos vencidos em ponto de coleta</t>
  </si>
  <si>
    <t>Descarte correto</t>
  </si>
  <si>
    <t>Reutilizar embalagens antes de descartá-las</t>
  </si>
  <si>
    <t>Reutilizar potes de vidro</t>
  </si>
  <si>
    <t>Reutilizar caixas de papelão</t>
  </si>
  <si>
    <t>Utilizar materiais reciclados em um projeto</t>
  </si>
  <si>
    <t>Consertar um objeto em vez de descartá-lo</t>
  </si>
  <si>
    <t>Doar roupas que não são mais utilizadas</t>
  </si>
  <si>
    <t>Doar móveis em bom estado</t>
  </si>
  <si>
    <t>Doar livros usados</t>
  </si>
  <si>
    <t>Fechar a torneira enquanto escova os dentes</t>
  </si>
  <si>
    <t>Reduzir o tempo do banho</t>
  </si>
  <si>
    <t>Fechar a torneira enquanto ensaboa as mãos</t>
  </si>
  <si>
    <t>Consertar uma torneira com vazamento</t>
  </si>
  <si>
    <t>Consertar um vaso sanitário com vazamento</t>
  </si>
  <si>
    <t>Instalar dispositivo economizador em torneiras</t>
  </si>
  <si>
    <t>Instalar descarga com duplo acionamento</t>
  </si>
  <si>
    <t>Lavar o carro utilizando balde em vez de mangueira</t>
  </si>
  <si>
    <t>Utilizar água de forma consciente ao lavar louça</t>
  </si>
  <si>
    <t>Economia de água</t>
  </si>
  <si>
    <t>Utilizar água da chuva para regar plantas</t>
  </si>
  <si>
    <t>Reutilizar água da máquina de lavar</t>
  </si>
  <si>
    <t>Reutilizar água do ar-condicionado para limpeza</t>
  </si>
  <si>
    <t>Utilizar água reaproveitada para lavar o quintal</t>
  </si>
  <si>
    <t>Utilizar água reaproveitada para regar plantas</t>
  </si>
  <si>
    <t>Apagar as luzes ao sair de um cômodo</t>
  </si>
  <si>
    <t>Desligar aparelhos que não estão sendo utilizados</t>
  </si>
  <si>
    <t>Retirar carregadores da tomada após o uso</t>
  </si>
  <si>
    <t>Utilizar iluminação natural durante o dia</t>
  </si>
  <si>
    <t>Evitar deixar televisão ligada sem utilização</t>
  </si>
  <si>
    <t>Evitar deixar computador ligado sem utilização</t>
  </si>
  <si>
    <t>Economia de energia</t>
  </si>
  <si>
    <t>Substituir lâmpadas convencionais por LED</t>
  </si>
  <si>
    <t>Utilizar eletrodomésticos com maior eficiência energética</t>
  </si>
  <si>
    <t>Utilizar temporizador para iluminação</t>
  </si>
  <si>
    <t>Instalar sensores de presença para iluminação</t>
  </si>
  <si>
    <t>Eficiência energética</t>
  </si>
  <si>
    <t>Instalar painéis solares</t>
  </si>
  <si>
    <t>Utilizar energia solar para aquecimento de água</t>
  </si>
  <si>
    <t>Energia renovável</t>
  </si>
  <si>
    <t>Caminhar até um destino próximo</t>
  </si>
  <si>
    <t>Utilizar bicicleta para deslocamento</t>
  </si>
  <si>
    <t>Utilizar transporte público</t>
  </si>
  <si>
    <t>Utilizar metrô em vez de carro</t>
  </si>
  <si>
    <t>Utilizar trem em vez de carro</t>
  </si>
  <si>
    <t>Compartilhar carona</t>
  </si>
  <si>
    <t>Utilizar bicicleta para ir ao trabalho</t>
  </si>
  <si>
    <t>Utilizar bicicleta para ir à faculdade</t>
  </si>
  <si>
    <t>Caminhar até a faculdade</t>
  </si>
  <si>
    <t>Caminhar até o trabalho</t>
  </si>
  <si>
    <t>Substituir uma viagem de carro por transporte público</t>
  </si>
  <si>
    <t>Substituir uma viagem de carro por bicicleta</t>
  </si>
  <si>
    <t>Organizar carona com colegas</t>
  </si>
  <si>
    <t>Utilizar veículo elétrico</t>
  </si>
  <si>
    <t>Mobilidade sustentável</t>
  </si>
  <si>
    <t>Plantar uma árvore</t>
  </si>
  <si>
    <t>Plantar árvores em área autorizada</t>
  </si>
  <si>
    <t>Participar de ação de reflorestamento</t>
  </si>
  <si>
    <t>Reflorestamento</t>
  </si>
  <si>
    <t>Cuidar de uma árvore plantada</t>
  </si>
  <si>
    <t>Participar de limpeza de área verde</t>
  </si>
  <si>
    <t>Participar de limpeza de parque</t>
  </si>
  <si>
    <t>Participar de limpeza de praia</t>
  </si>
  <si>
    <t>Participar de recuperação de área degradada</t>
  </si>
  <si>
    <t>Plantar espécies nativas</t>
  </si>
  <si>
    <t>Criar um jardim para polinizadores</t>
  </si>
  <si>
    <t>Plantar espécies que atraem abelhas e outros polinizadores</t>
  </si>
  <si>
    <t>Biodiversidade</t>
  </si>
  <si>
    <t>Criar uma horta doméstica</t>
  </si>
  <si>
    <t>Cultivar alimentos sem agrotóxicos</t>
  </si>
  <si>
    <t>Agricultura sustentável</t>
  </si>
  <si>
    <t>Reduzir o desperdício de alimentos</t>
  </si>
  <si>
    <t>Aproveitar integralmente os alimentos</t>
  </si>
  <si>
    <t>Planejar as compras para evitar desperdício</t>
  </si>
  <si>
    <t>Armazenar corretamente alimentos para aumentar sua durabilidade</t>
  </si>
  <si>
    <t>Comprar alimentos produzidos localmente</t>
  </si>
  <si>
    <t>Comprar frutas e verduras da estação</t>
  </si>
  <si>
    <t>Evitar alimentos com excesso de embalagens</t>
  </si>
  <si>
    <t>Consumo consciente</t>
  </si>
  <si>
    <t>Comprar produtos duráveis</t>
  </si>
  <si>
    <t>Comprar produtos de segunda mão</t>
  </si>
  <si>
    <t>Reparar roupas em vez de descartá-las</t>
  </si>
  <si>
    <t>Comprar roupas usadas</t>
  </si>
  <si>
    <t>Evitar compras por impulso</t>
  </si>
  <si>
    <t>Escolher produtos com menos embalagens</t>
  </si>
  <si>
    <t>Comprar produtos feitos com materiais reciclados</t>
  </si>
  <si>
    <t>Utilizar sacola reutilizável</t>
  </si>
  <si>
    <t>Recusar sacolas plásticas desnecessárias</t>
  </si>
  <si>
    <t>Utilizar garrafa reutilizável</t>
  </si>
  <si>
    <t>Utilizar copo reutilizável</t>
  </si>
  <si>
    <t>Utilizar canudo reutilizável</t>
  </si>
  <si>
    <t>Utilizar refil em vez de comprar nova embalagem</t>
  </si>
  <si>
    <t>Redução de resíduos</t>
  </si>
  <si>
    <t>Comprar equipamento eletrônico recondicionado</t>
  </si>
  <si>
    <t>Prolongar a vida útil de um aparelho</t>
  </si>
  <si>
    <t>Consertar um equipamento eletrônico em vez de substituí-lo</t>
  </si>
  <si>
    <t>Doar um aparelho eletrônico em funcionamento</t>
  </si>
  <si>
    <t>Entregar celular antigo para reciclagem</t>
  </si>
  <si>
    <t>Entregar computador antigo para reciclagem</t>
  </si>
  <si>
    <t>Entregar cabos antigos em ponto de coleta</t>
  </si>
  <si>
    <t>Entregar carregadores antigos em ponto de coleta</t>
  </si>
  <si>
    <t>Lixo eletrônico</t>
  </si>
  <si>
    <t>Participar de projeto de educação ambiental</t>
  </si>
  <si>
    <t>Promover palestra sobre sustentabilidade</t>
  </si>
  <si>
    <t>Ensinar crianças sobre separação de resíduos</t>
  </si>
  <si>
    <t>Incentivar colegas a utilizarem transporte público</t>
  </si>
  <si>
    <t>Educação ambiental</t>
  </si>
  <si>
    <t>Participar de mutirão de limpeza</t>
  </si>
  <si>
    <t>Organizar coleta de recicláveis no condomínio</t>
  </si>
  <si>
    <t>Organizar campanha de arrecadação de recicláveis</t>
  </si>
  <si>
    <t>Organizar campanha de plantio de árvores</t>
  </si>
  <si>
    <t>Participar de projeto comunitário de reciclagem</t>
  </si>
  <si>
    <t>Criar campanha de redução do uso de plástico</t>
  </si>
  <si>
    <t>Organizar ponto de coleta de eletrônicos</t>
  </si>
  <si>
    <t>Organizar coleta de óleo de cozinha</t>
  </si>
  <si>
    <t>Participar de projeto de recuperação ambiental</t>
  </si>
  <si>
    <t>Ação coletiva</t>
  </si>
  <si>
    <t>Eficiência Energética</t>
  </si>
  <si>
    <t>Mobilidade Sustentável</t>
  </si>
  <si>
    <t>Agricultura Sustentável</t>
  </si>
  <si>
    <t>Redução de Residuos</t>
  </si>
  <si>
    <t>Lixo Eletrônico</t>
  </si>
  <si>
    <t>Educação Ambiental</t>
  </si>
  <si>
    <t>Justificativa</t>
  </si>
  <si>
    <t>Fonte</t>
  </si>
  <si>
    <t>A reciclagem possui benefícios ambientais comprovados: reduz a necessidade de extração de matérias-primas, economiza energia e reduz resíduos destinados a aterros/incineração.</t>
  </si>
  <si>
    <t>US EPA</t>
  </si>
  <si>
    <t>É ambientalmente importante porque evita que resíduos sejam destinados de maneira inadequada e reduz riscos de poluição.</t>
  </si>
  <si>
    <t>Redução na fonte e reutilização antes da reciclagem evita a geração do resíduo e reduz consumo de recursos, energia e poluição</t>
  </si>
  <si>
    <t>Economizar água diretamente reduz a demanda sobre recursos hídricos e também pode reduzir energia utilizada no tratamento, bombeamento e distribuição.</t>
  </si>
  <si>
    <t>IEA</t>
  </si>
  <si>
    <t>Reaproveitar água, materiais ou resíduos evita o consumo de novos recursos e reduz geração de resíduos.</t>
  </si>
  <si>
    <t>Ações de eficiência de energia e água e redução, reutilização e reciclagem como ações individuais, ajudam contra mudanças climáticas.</t>
  </si>
  <si>
    <t>A eficiência energética um dos principais pilares da transição energética e estima que acelerar ganhos de eficiência poderia responder por mais de um terço das reduções de CO₂ até 2030</t>
  </si>
  <si>
    <t>Energia solar, eólica e outras fontes renováveis podem substituir geração baseada em combustíveis fósseis.</t>
  </si>
  <si>
    <t>O transporte é uma fonte importante de emissões e a EPA identifica transporte público, bicicleta, caminhada e carona como alternativas que podem reduzir emissões.</t>
  </si>
  <si>
    <t>A UNEP destaca que restauração de ecossistemas pode gerar benefícios simultâneos em: Carbono, Biodiversidade, Água, Solo, Resiliência Climática</t>
  </si>
  <si>
    <t>UNEP</t>
  </si>
  <si>
    <t>Conservar um ecossistema intacto pode ser extremamente valioso porque evita sua degradação antes que seja necessário restaurá-lo.</t>
  </si>
  <si>
    <t>A biodiversidade está relacionada ao funcionamento dos ecossistemas, polinização, produção de alimentos, solos, água e resiliência.</t>
  </si>
  <si>
    <t>A agricultura sustentável tem impactos positivos em diversos aspectos e promove a segurança alimentar e a resiliência</t>
  </si>
  <si>
    <t>Previne diversos problemas mais complexos de resolver depois, como o acumulo de resíduos</t>
  </si>
  <si>
    <t>Impactos significativos na redução do desperdício de alimentos; Reduzir pela metade o desperdício alimentar nos EUA teria potencial para economizar água, energia e emissões em grande escala.</t>
  </si>
  <si>
    <t>Reciclar corretamente evita descarte inadequado e recupera materiais.</t>
  </si>
  <si>
    <t>GREEN ELETRON</t>
  </si>
  <si>
    <t>O impacto indireto e multiplicador pode ser significativo se a educação provocar mudanças de comportamento em várias pessoas.</t>
  </si>
  <si>
    <t>UNESCO</t>
  </si>
  <si>
    <t>Uma ação coletiva pode gerar um impacto muito maior do que uma ação individual:</t>
  </si>
  <si>
    <t>Postagem</t>
  </si>
  <si>
    <t>ID</t>
  </si>
  <si>
    <t>Texto</t>
  </si>
  <si>
    <t>Quantidade</t>
  </si>
  <si>
    <t>Unidade</t>
  </si>
  <si>
    <t>Imagem</t>
  </si>
  <si>
    <t>Vídeo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</si>
  <si>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</si>
  <si>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</si>
  <si>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</si>
  <si>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</si>
  <si>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</si>
  <si>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</si>
  <si>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</si>
  <si>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</si>
  <si>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</si>
  <si>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</si>
  <si>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</si>
  <si>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</si>
  <si>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</si>
  <si>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</si>
  <si>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</si>
  <si>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</si>
  <si>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</si>
  <si>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</si>
  <si>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Hoje separei 5 kg de materiais recicláveis e levei tudo para o ponto de coleta do meu bairro.</t>
  </si>
  <si>
    <t>Levei 4 pilhas usadas para um ponto de coleta especializado para evitar o descarte no lixo comum.</t>
  </si>
  <si>
    <t>Reutilizei potes de vidro que eu tinha em casa para armazenar alimentos, evitando comprar novos recipientes.</t>
  </si>
  <si>
    <t>Durante esta semana reduzi o tempo dos meus banhos e passei a fechar a torneira enquanto escovo os dentes.</t>
  </si>
  <si>
    <t>Aproveitei a água que saiu da máquina de lavar para limpar o quintal de casa.</t>
  </si>
  <si>
    <t>Passei a desligar as luzes dos cômodos quando saio deles e aproveitei mais a iluminação natural durante o dia.</t>
  </si>
  <si>
    <t>Troquei 6 lâmpadas convencionais da minha casa por lâmpadas LED mais eficientes.</t>
  </si>
  <si>
    <t>Instalei painéis solares na minha residência para gerar parte da energia que consumo.</t>
  </si>
  <si>
    <t>Durante esta semana fui de bicicleta para a faculdade em vez de utilizar o carro. Percorri aproximadamente 35 km no total.</t>
  </si>
  <si>
    <t>Participei de um projeto de plantio e ajudei a plantar 10 árvores nativas em uma área autorizada.</t>
  </si>
  <si>
    <t>Participei de uma atividade voluntária para ajudar na preservação de uma área verde próxima à comunidade.</t>
  </si>
  <si>
    <t>Plantei espécies nativas no jardim de casa para criar um espaço que possa servir de abrigo e alimento para polinizadores.</t>
  </si>
  <si>
    <t>Criei uma pequena horta utilizando práticas de cultivo sustentável e aproveitei restos orgânicos para produzir composto.</t>
  </si>
  <si>
    <t>Antes de comprar uma roupa nova, procurei uma peça usada em bom estado e encontrei uma em um brechó.</t>
  </si>
  <si>
    <t>Esta semana passei a utilizar uma garrafa reutilizável e deixei de comprar garrafas descartáveis durante meus deslocamentos.</t>
  </si>
  <si>
    <t>Entreguei meu celular antigo em um ponto de coleta de lixo eletrônico para que seus componentes possam receber a destinação adequada.</t>
  </si>
  <si>
    <t>Conversei com meus colegas sobre separação de resíduos e expliquei como identificar materiais recicláveis.</t>
  </si>
  <si>
    <t>Organizei um mutirão com meus vizinhos e juntos recolhemos aproximadamente 25 kg de resíduos de uma praça.</t>
  </si>
  <si>
    <t>Data</t>
  </si>
  <si>
    <t>Local</t>
  </si>
  <si>
    <t>São Paulo</t>
  </si>
  <si>
    <t>kg</t>
  </si>
  <si>
    <t>unidades</t>
  </si>
  <si>
    <t>dias</t>
  </si>
  <si>
    <t>litros</t>
  </si>
  <si>
    <t>cômodos</t>
  </si>
  <si>
    <t>lâmpadas</t>
  </si>
  <si>
    <t>sistema</t>
  </si>
  <si>
    <t>km</t>
  </si>
  <si>
    <t>árvores</t>
  </si>
  <si>
    <t>horas</t>
  </si>
  <si>
    <t>plantas</t>
  </si>
  <si>
    <t>horta</t>
  </si>
  <si>
    <t>peça</t>
  </si>
  <si>
    <t>aparelho</t>
  </si>
  <si>
    <t>pessoas</t>
  </si>
  <si>
    <t>sim</t>
  </si>
  <si>
    <t>não</t>
  </si>
  <si>
    <t>Validação</t>
  </si>
  <si>
    <t>Duplicidade</t>
  </si>
  <si>
    <t>Plágio</t>
  </si>
  <si>
    <t>Indicador IA</t>
  </si>
  <si>
    <t>Evidência Compativel</t>
  </si>
  <si>
    <t>Veracidade</t>
  </si>
  <si>
    <t>Classificação</t>
  </si>
  <si>
    <t>confirmada</t>
  </si>
  <si>
    <t>não confirmada</t>
  </si>
  <si>
    <t>Legítima</t>
  </si>
  <si>
    <t>Pouca Informação</t>
  </si>
  <si>
    <t>Duplicada</t>
  </si>
  <si>
    <t>Suspeita</t>
  </si>
  <si>
    <t>Falsa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</si>
</sst>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 tint="0.249977111117893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 tint="0.249977111117893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C0C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1B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>
      <alignment horizontal="center" vertical="center" wrapText="1"/>
    </xf>
  </cellStyleXfs>
  <cellXfs count="40">
    <xf numFmtId="0" fontId="0" fillId="0" borderId="0" xfId="0"/>
    <xf numFmtId="0" fontId="3" fillId="3" borderId="1" xfId="0" applyFont="1" applyFill="1" applyBorder="1"/>
    <xf numFmtId="0" fontId="4" fillId="2" borderId="1" xfId="1" applyFont="1" applyBorder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3" borderId="5" xfId="0" applyFont="1" applyFill="1" applyBorder="1"/>
    <xf numFmtId="0" fontId="3" fillId="3" borderId="6" xfId="0" applyFont="1" applyFill="1" applyBorder="1"/>
    <xf numFmtId="0" fontId="4" fillId="2" borderId="5" xfId="1" applyFont="1" applyBorder="1">
      <alignment horizontal="center" vertical="center" wrapText="1"/>
    </xf>
    <xf numFmtId="0" fontId="4" fillId="2" borderId="6" xfId="1" applyFont="1" applyBorder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/>
    </xf>
    <xf numFmtId="0" fontId="3" fillId="3" borderId="10" xfId="0" applyFont="1" applyFill="1" applyBorder="1"/>
    <xf numFmtId="0" fontId="4" fillId="2" borderId="10" xfId="1" applyFont="1" applyBorder="1">
      <alignment horizontal="center" vertical="center" wrapText="1"/>
    </xf>
    <xf numFmtId="0" fontId="0" fillId="0" borderId="15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/>
    </xf>
    <xf numFmtId="0" fontId="3" fillId="3" borderId="11" xfId="0" applyFont="1" applyFill="1" applyBorder="1"/>
    <xf numFmtId="0" fontId="4" fillId="2" borderId="11" xfId="1" applyFont="1" applyBorder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0" fontId="0" fillId="0" borderId="11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2">
    <cellStyle name="ciano-postup" xfId="1" xr:uid="{503A450E-A69A-46C2-880E-0D29ED01E99C}"/>
    <cellStyle name="Normal" xfId="0" builtinId="0"/>
  </cellStyles>
  <dxfs count="32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91B000"/>
      <color rgb="FF44C0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3ECCF7-BFDC-438D-86AD-1A3B508245CA}" name="Tabela367" displayName="Tabela367" ref="A3:G21" totalsRowShown="0" headerRowDxfId="26">
  <autoFilter ref="A3:G21" xr:uid="{8DB6EFF4-1BA8-4256-B1CB-32E629183CF3}"/>
  <tableColumns count="7">
    <tableColumn id="8" xr3:uid="{9E4F14B2-FF73-465E-9868-40985B5F8BAE}" name="ID" dataDxfId="25">
      <calculatedColumnFormula>Tabela36[[#This Row],[ID]]</calculatedColumnFormula>
    </tableColumn>
    <tableColumn id="3" xr3:uid="{082D62DD-9A31-4201-8670-5C3CD5497F32}" name="Duplicidade" dataDxfId="24"/>
    <tableColumn id="4" xr3:uid="{77056801-E81A-40EE-AE98-64EB7E3595F0}" name="Plágio" dataDxfId="23"/>
    <tableColumn id="5" xr3:uid="{4EF7F682-8272-420B-BEA6-F74393764371}" name="Indicador IA" dataDxfId="22"/>
    <tableColumn id="6" xr3:uid="{BB7527C7-A187-4476-968E-6C3F57FB8FA9}" name="Evidência Compativel" dataDxfId="21"/>
    <tableColumn id="11" xr3:uid="{191B1134-D155-4EAA-B30C-D99269ACF6B6}" name="Veracidade" dataDxfId="20"/>
    <tableColumn id="12" xr3:uid="{51454010-6468-4F4E-B495-A5590D82FBA5}" name="Classificação" dataDxfId="1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A4CE45-02F2-4F52-B2C7-2065DA214C6E}" name="Tabela36" displayName="Tabela36" ref="A3:J21" totalsRowShown="0" headerRowDxfId="27">
  <autoFilter ref="A3:J21" xr:uid="{8DB6EFF4-1BA8-4256-B1CB-32E629183CF3}"/>
  <tableColumns count="10">
    <tableColumn id="8" xr3:uid="{ED338CDF-E63B-4AB7-8AE4-C54BFCA9CCD0}" name="ID" dataDxfId="18"/>
    <tableColumn id="3" xr3:uid="{5E8DA77F-0ADD-4479-8DC1-1D16CC407BAD}" name="Texto" dataDxfId="17"/>
    <tableColumn id="4" xr3:uid="{D3C06831-A074-4D8E-B4B9-B7013FA4C816}" name="Categoria" dataDxfId="16">
      <calculatedColumnFormula>Tabela3[[#This Row],[Categoria]]</calculatedColumnFormula>
    </tableColumn>
    <tableColumn id="5" xr3:uid="{3B7A1D36-3527-437E-81ED-3366879E95CE}" name="Quantidade" dataDxfId="15"/>
    <tableColumn id="6" xr3:uid="{C28494C1-0FB5-4191-BBEF-DB4536A96F2F}" name="Unidade" dataDxfId="14"/>
    <tableColumn id="11" xr3:uid="{050B61C9-B149-4BB6-A189-368E3713D891}" name="Data" dataDxfId="13"/>
    <tableColumn id="12" xr3:uid="{C3BEABF5-931C-4E35-BEB4-FBB56DA207D5}" name="Local" dataDxfId="12"/>
    <tableColumn id="13" xr3:uid="{0D274C15-D41D-4528-B2AE-F231386634DF}" name="Frequência" dataDxfId="11"/>
    <tableColumn id="9" xr3:uid="{56141C50-11E4-492F-8E47-723336AE3800}" name="Imagem" dataDxfId="10"/>
    <tableColumn id="10" xr3:uid="{B8F85D5D-975F-4D31-A9E6-0D080B102308}" name="Vídeo" dataDxfId="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BFBF6D-6AFE-43BD-88C5-DDB07E84883A}" name="Tabela35" displayName="Tabela35" ref="A3:B116" totalsRowShown="0" headerRowDxfId="28">
  <autoFilter ref="A3:B116" xr:uid="{8DB6EFF4-1BA8-4256-B1CB-32E629183CF3}"/>
  <tableColumns count="2">
    <tableColumn id="1" xr3:uid="{7399A706-380F-459D-99EF-380189293A87}" name="Ação" dataDxfId="30"/>
    <tableColumn id="8" xr3:uid="{C0D6D28C-C17D-4C4B-BF41-45D2A224EF6F}" name="Categoria" dataDxfId="2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B6EFF4-1BA8-4256-B1CB-32E629183CF3}" name="Tabela3" displayName="Tabela3" ref="A3:I21" totalsRowShown="0" headerRowDxfId="31">
  <autoFilter ref="A3:I21" xr:uid="{8DB6EFF4-1BA8-4256-B1CB-32E629183CF3}"/>
  <sortState xmlns:xlrd2="http://schemas.microsoft.com/office/spreadsheetml/2017/richdata2" ref="A4:I21">
    <sortCondition descending="1" ref="G3:G21"/>
  </sortState>
  <tableColumns count="9">
    <tableColumn id="8" xr3:uid="{B381157D-1B09-4E03-86A8-646998DDBFAA}" name="Categoria" dataDxfId="8"/>
    <tableColumn id="11" xr3:uid="{1663668E-B1DA-4B27-ADFA-A4419EAF7FBD}" name="ID" dataDxfId="7">
      <calculatedColumnFormula array="1">_xlfn.XLOOKUP(Tabela3[[#This Row],[Categoria]],Tabela36[[#All],[Categoria]],Tabela36[[#All],[ID]])</calculatedColumnFormula>
    </tableColumn>
    <tableColumn id="3" xr3:uid="{7AB343BF-E9A0-4DDE-A766-78AF46EAA4B2}" name="Impacto" dataDxfId="6"/>
    <tableColumn id="4" xr3:uid="{9B6E14C1-428C-457B-8C0F-F5824BA77DFF}" name="Frequência" dataDxfId="5">
      <calculatedColumnFormula array="1">_xlfn.IFS(_xlfn.XLOOKUP(Tabela3[[#This Row],[ID]],Tabela36[[#All],[ID]],Tabela36[[#All],[Frequência]])=1,14.2,_xlfn.XLOOKUP(Tabela3[[#This Row],[ID]],Tabela36[[#All],[ID]],Tabela36[[#All],[Frequência]])=2,28.4,_xlfn.XLOOKUP(Tabela3[[#This Row],[ID]],Tabela36[[#All],[ID]],Tabela36[[#All],[Frequência]])=3,42.6,_xlfn.XLOOKUP(Tabela3[[#This Row],[ID]],Tabela36[[#All],[ID]],Tabela36[[#All],[Frequência]])=4,56.8,_xlfn.XLOOKUP(Tabela3[[#This Row],[ID]],Tabela36[[#All],[ID]],Tabela36[[#All],[Frequência]])=5,71,_xlfn.XLOOKUP(Tabela3[[#This Row],[ID]],Tabela36[[#All],[ID]],Tabela36[[#All],[Frequência]])=6,85.2,TRUE,100)</calculatedColumnFormula>
    </tableColumn>
    <tableColumn id="5" xr3:uid="{C90822C3-10DE-4244-AB52-BCDDD0B524FC}" name="Dificuldade" dataDxfId="4"/>
    <tableColumn id="6" xr3:uid="{2A8BAE2F-F888-4950-B043-D7D2F5B60AB5}" name="Confiabilidade" dataDxfId="3">
      <calculatedColumnFormula array="1">_xlfn.IFS(_xlfn.XLOOKUP(Tabela3[[#This Row],[ID]],Tabela367[ID],Tabela367[Classificação])="Legítima",100,_xlfn.XLOOKUP(Tabela3[[#This Row],[ID]],Tabela367[ID],Tabela367[Classificação])="Pouca Informação",80,_xlfn.XLOOKUP(Tabela3[[#This Row],[ID]],Tabela367[ID],Tabela367[Classificação])="Duplicada",60,_xlfn.XLOOKUP(Tabela3[[#This Row],[ID]],Tabela367[ID],Tabela367[Classificação])="Plágio",40,_xlfn.XLOOKUP(Tabela3[[#This Row],[ID]],Tabela367[ID],Tabela367[Classificação])="Suspeita",20,_xlfn.XLOOKUP(Tabela3[[#This Row],[ID]],Tabela367[ID],Tabela367[Classificação])="Falsa",0)</calculatedColumnFormula>
    </tableColumn>
    <tableColumn id="9" xr3:uid="{63AEECD4-0A9C-4580-89B3-0F861320D58C}" name="Score" dataDxfId="2">
      <calculatedColumnFormula>(Tabela3[[#This Row],[Impacto]]*0.4)+(Tabela3[[#This Row],[Confiabilidade]]*0.3)+(Tabela3[[#This Row],[Dificuldade]]*0.2)+(Tabela3[[#This Row],[Frequência]]*0.1)</calculatedColumnFormula>
    </tableColumn>
    <tableColumn id="10" xr3:uid="{F1F399A8-C78D-453E-98F5-7F14A136BC2B}" name="Justificativa" dataDxfId="1"/>
    <tableColumn id="7" xr3:uid="{104CC45E-A8CA-428B-9CD1-D48301294608}" name="Fon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B188-5094-4B76-B099-3B9CF8185C7C}">
  <dimension ref="A1:G21"/>
  <sheetViews>
    <sheetView workbookViewId="0">
      <pane ySplit="3" topLeftCell="A20" activePane="bottomLeft" state="frozen"/>
      <selection pane="bottomLeft" activeCell="H21" sqref="H21"/>
    </sheetView>
  </sheetViews>
  <sheetFormatPr defaultRowHeight="15" x14ac:dyDescent="0.25"/>
  <cols>
    <col min="1" max="1" width="16.7109375" bestFit="1" customWidth="1"/>
    <col min="2" max="2" width="27.28515625" customWidth="1"/>
    <col min="3" max="3" width="19" customWidth="1"/>
    <col min="4" max="4" width="19.28515625" customWidth="1"/>
    <col min="5" max="5" width="19.7109375" bestFit="1" customWidth="1"/>
    <col min="6" max="7" width="19.7109375" customWidth="1"/>
  </cols>
  <sheetData>
    <row r="1" spans="1:7" ht="27.75" customHeight="1" x14ac:dyDescent="0.25">
      <c r="A1" s="3" t="s">
        <v>239</v>
      </c>
      <c r="B1" s="4"/>
      <c r="C1" s="4"/>
      <c r="D1" s="4"/>
      <c r="E1" s="4"/>
      <c r="F1" s="27"/>
      <c r="G1" s="5"/>
    </row>
    <row r="2" spans="1:7" ht="3" customHeight="1" x14ac:dyDescent="0.3">
      <c r="A2" s="6" t="s">
        <v>177</v>
      </c>
      <c r="B2" s="1"/>
      <c r="C2" s="1"/>
      <c r="D2" s="1"/>
      <c r="E2" s="1"/>
      <c r="F2" s="28"/>
      <c r="G2" s="7"/>
    </row>
    <row r="3" spans="1:7" ht="37.5" customHeight="1" x14ac:dyDescent="0.25">
      <c r="A3" s="8" t="s">
        <v>177</v>
      </c>
      <c r="B3" s="2" t="s">
        <v>240</v>
      </c>
      <c r="C3" s="2" t="s">
        <v>241</v>
      </c>
      <c r="D3" s="2" t="s">
        <v>242</v>
      </c>
      <c r="E3" s="2" t="s">
        <v>243</v>
      </c>
      <c r="F3" s="29" t="s">
        <v>244</v>
      </c>
      <c r="G3" s="9" t="s">
        <v>245</v>
      </c>
    </row>
    <row r="4" spans="1:7" ht="87.75" customHeight="1" x14ac:dyDescent="0.25">
      <c r="A4" s="13" t="str">
        <f>Tabela36[[#This Row],[ID]]</f>
        <v>P001</v>
      </c>
      <c r="B4" s="11" t="s">
        <v>237</v>
      </c>
      <c r="C4" s="11" t="s">
        <v>238</v>
      </c>
      <c r="D4" s="11" t="s">
        <v>238</v>
      </c>
      <c r="E4" s="11" t="s">
        <v>237</v>
      </c>
      <c r="F4" s="31" t="s">
        <v>246</v>
      </c>
      <c r="G4" s="21" t="str" cm="1">
        <f t="array" ref="G4">_xlfn.IFS(Tabela367[[#This Row],[Plágio]]="sim","Plágio",Tabela367[[#This Row],[Duplicidade]]="sim","Duplicada",Tabela367[[#This Row],[Veracidade]]="falsa","Falsa",Tabela367[[#This Row],[Indicador IA]]="sim","Suspeita",Tabela367[[#This Row],[Evidência Compativel]]="não","Pouca Informação",
TRUE,"Legítima"
)</f>
        <v>Duplicada</v>
      </c>
    </row>
    <row r="5" spans="1:7" ht="87.75" customHeight="1" x14ac:dyDescent="0.25">
      <c r="A5" s="13" t="str">
        <f>Tabela36[[#This Row],[ID]]</f>
        <v>P002</v>
      </c>
      <c r="B5" s="11" t="s">
        <v>238</v>
      </c>
      <c r="C5" s="11" t="s">
        <v>238</v>
      </c>
      <c r="D5" s="11" t="s">
        <v>238</v>
      </c>
      <c r="E5" s="11" t="s">
        <v>237</v>
      </c>
      <c r="F5" s="31" t="s">
        <v>246</v>
      </c>
      <c r="G5" s="21" t="s">
        <v>248</v>
      </c>
    </row>
    <row r="6" spans="1:7" ht="87.75" customHeight="1" x14ac:dyDescent="0.25">
      <c r="A6" s="13" t="str">
        <f>Tabela36[[#This Row],[ID]]</f>
        <v>P003</v>
      </c>
      <c r="B6" s="11" t="s">
        <v>238</v>
      </c>
      <c r="C6" s="11" t="s">
        <v>238</v>
      </c>
      <c r="D6" s="11" t="s">
        <v>238</v>
      </c>
      <c r="E6" s="11" t="s">
        <v>237</v>
      </c>
      <c r="F6" s="31" t="s">
        <v>246</v>
      </c>
      <c r="G6" s="21" t="s">
        <v>241</v>
      </c>
    </row>
    <row r="7" spans="1:7" ht="87.75" customHeight="1" x14ac:dyDescent="0.25">
      <c r="A7" s="13" t="str">
        <f>Tabela36[[#This Row],[ID]]</f>
        <v>P004</v>
      </c>
      <c r="B7" s="11" t="s">
        <v>238</v>
      </c>
      <c r="C7" s="11" t="s">
        <v>238</v>
      </c>
      <c r="D7" s="11" t="s">
        <v>238</v>
      </c>
      <c r="E7" s="11" t="s">
        <v>238</v>
      </c>
      <c r="F7" s="31" t="s">
        <v>247</v>
      </c>
      <c r="G7" s="21" t="s">
        <v>248</v>
      </c>
    </row>
    <row r="8" spans="1:7" ht="87.75" customHeight="1" x14ac:dyDescent="0.25">
      <c r="A8" s="13" t="str">
        <f>Tabela36[[#This Row],[ID]]</f>
        <v>P005</v>
      </c>
      <c r="B8" s="11" t="s">
        <v>238</v>
      </c>
      <c r="C8" s="11" t="s">
        <v>238</v>
      </c>
      <c r="D8" s="11" t="s">
        <v>238</v>
      </c>
      <c r="E8" s="11" t="s">
        <v>237</v>
      </c>
      <c r="F8" s="31" t="s">
        <v>246</v>
      </c>
      <c r="G8" s="21" t="s">
        <v>249</v>
      </c>
    </row>
    <row r="9" spans="1:7" ht="87.75" customHeight="1" x14ac:dyDescent="0.25">
      <c r="A9" s="13" t="str">
        <f>Tabela36[[#This Row],[ID]]</f>
        <v>P006</v>
      </c>
      <c r="B9" s="11" t="s">
        <v>238</v>
      </c>
      <c r="C9" s="11" t="s">
        <v>238</v>
      </c>
      <c r="D9" s="11" t="s">
        <v>238</v>
      </c>
      <c r="E9" s="11" t="s">
        <v>238</v>
      </c>
      <c r="F9" s="31" t="s">
        <v>247</v>
      </c>
      <c r="G9" s="21" t="s">
        <v>248</v>
      </c>
    </row>
    <row r="10" spans="1:7" ht="87.75" customHeight="1" x14ac:dyDescent="0.25">
      <c r="A10" s="13" t="str">
        <f>Tabela36[[#This Row],[ID]]</f>
        <v>P007</v>
      </c>
      <c r="B10" s="11" t="s">
        <v>238</v>
      </c>
      <c r="C10" s="11" t="s">
        <v>238</v>
      </c>
      <c r="D10" s="11" t="s">
        <v>238</v>
      </c>
      <c r="E10" s="11" t="s">
        <v>237</v>
      </c>
      <c r="F10" s="31" t="s">
        <v>246</v>
      </c>
      <c r="G10" s="21" t="s">
        <v>250</v>
      </c>
    </row>
    <row r="11" spans="1:7" ht="87.75" customHeight="1" x14ac:dyDescent="0.25">
      <c r="A11" s="13" t="str">
        <f>Tabela36[[#This Row],[ID]]</f>
        <v>P008</v>
      </c>
      <c r="B11" s="11" t="s">
        <v>238</v>
      </c>
      <c r="C11" s="11" t="s">
        <v>238</v>
      </c>
      <c r="D11" s="11" t="s">
        <v>238</v>
      </c>
      <c r="E11" s="11" t="s">
        <v>237</v>
      </c>
      <c r="F11" s="31" t="s">
        <v>246</v>
      </c>
      <c r="G11" s="21" t="s">
        <v>248</v>
      </c>
    </row>
    <row r="12" spans="1:7" ht="87.75" customHeight="1" x14ac:dyDescent="0.25">
      <c r="A12" s="13" t="str">
        <f>Tabela36[[#This Row],[ID]]</f>
        <v>P009</v>
      </c>
      <c r="B12" s="11" t="s">
        <v>238</v>
      </c>
      <c r="C12" s="11" t="s">
        <v>238</v>
      </c>
      <c r="D12" s="11" t="s">
        <v>238</v>
      </c>
      <c r="E12" s="11" t="s">
        <v>237</v>
      </c>
      <c r="F12" s="31" t="s">
        <v>246</v>
      </c>
      <c r="G12" s="21" t="s">
        <v>251</v>
      </c>
    </row>
    <row r="13" spans="1:7" ht="87.75" customHeight="1" x14ac:dyDescent="0.25">
      <c r="A13" s="13" t="str">
        <f>Tabela36[[#This Row],[ID]]</f>
        <v>P010</v>
      </c>
      <c r="B13" s="11" t="s">
        <v>238</v>
      </c>
      <c r="C13" s="11" t="s">
        <v>238</v>
      </c>
      <c r="D13" s="11" t="s">
        <v>238</v>
      </c>
      <c r="E13" s="11" t="s">
        <v>237</v>
      </c>
      <c r="F13" s="31" t="s">
        <v>246</v>
      </c>
      <c r="G13" s="21" t="s">
        <v>248</v>
      </c>
    </row>
    <row r="14" spans="1:7" ht="87.75" customHeight="1" x14ac:dyDescent="0.25">
      <c r="A14" s="13" t="str">
        <f>Tabela36[[#This Row],[ID]]</f>
        <v>P011</v>
      </c>
      <c r="B14" s="11" t="s">
        <v>238</v>
      </c>
      <c r="C14" s="11" t="s">
        <v>238</v>
      </c>
      <c r="D14" s="11" t="s">
        <v>238</v>
      </c>
      <c r="E14" s="11" t="s">
        <v>237</v>
      </c>
      <c r="F14" s="31" t="s">
        <v>246</v>
      </c>
      <c r="G14" s="21" t="s">
        <v>248</v>
      </c>
    </row>
    <row r="15" spans="1:7" ht="87.75" customHeight="1" x14ac:dyDescent="0.25">
      <c r="A15" s="13" t="str">
        <f>Tabela36[[#This Row],[ID]]</f>
        <v>P012</v>
      </c>
      <c r="B15" s="11" t="s">
        <v>238</v>
      </c>
      <c r="C15" s="11" t="s">
        <v>238</v>
      </c>
      <c r="D15" s="11" t="s">
        <v>238</v>
      </c>
      <c r="E15" s="11" t="s">
        <v>237</v>
      </c>
      <c r="F15" s="31" t="s">
        <v>246</v>
      </c>
      <c r="G15" s="21" t="s">
        <v>248</v>
      </c>
    </row>
    <row r="16" spans="1:7" ht="87.75" customHeight="1" x14ac:dyDescent="0.25">
      <c r="A16" s="13" t="str">
        <f>Tabela36[[#This Row],[ID]]</f>
        <v>P013</v>
      </c>
      <c r="B16" s="11" t="s">
        <v>238</v>
      </c>
      <c r="C16" s="11" t="s">
        <v>238</v>
      </c>
      <c r="D16" s="11" t="s">
        <v>238</v>
      </c>
      <c r="E16" s="11" t="s">
        <v>237</v>
      </c>
      <c r="F16" s="31" t="s">
        <v>246</v>
      </c>
      <c r="G16" s="21" t="s">
        <v>252</v>
      </c>
    </row>
    <row r="17" spans="1:7" ht="87.75" customHeight="1" x14ac:dyDescent="0.25">
      <c r="A17" s="13" t="str">
        <f>Tabela36[[#This Row],[ID]]</f>
        <v>P014</v>
      </c>
      <c r="B17" s="11" t="s">
        <v>238</v>
      </c>
      <c r="C17" s="11" t="s">
        <v>238</v>
      </c>
      <c r="D17" s="11" t="s">
        <v>238</v>
      </c>
      <c r="E17" s="11" t="s">
        <v>237</v>
      </c>
      <c r="F17" s="31" t="s">
        <v>246</v>
      </c>
      <c r="G17" s="21" t="s">
        <v>248</v>
      </c>
    </row>
    <row r="18" spans="1:7" ht="87.75" customHeight="1" x14ac:dyDescent="0.25">
      <c r="A18" s="13" t="str">
        <f>Tabela36[[#This Row],[ID]]</f>
        <v>P015</v>
      </c>
      <c r="B18" s="11" t="s">
        <v>238</v>
      </c>
      <c r="C18" s="11" t="s">
        <v>238</v>
      </c>
      <c r="D18" s="11" t="s">
        <v>238</v>
      </c>
      <c r="E18" s="11" t="s">
        <v>237</v>
      </c>
      <c r="F18" s="31" t="s">
        <v>246</v>
      </c>
      <c r="G18" s="21" t="s">
        <v>248</v>
      </c>
    </row>
    <row r="19" spans="1:7" ht="87.75" customHeight="1" x14ac:dyDescent="0.25">
      <c r="A19" s="13" t="str">
        <f>Tabela36[[#This Row],[ID]]</f>
        <v>P016</v>
      </c>
      <c r="B19" s="11" t="s">
        <v>238</v>
      </c>
      <c r="C19" s="11" t="s">
        <v>238</v>
      </c>
      <c r="D19" s="11" t="s">
        <v>238</v>
      </c>
      <c r="E19" s="11" t="s">
        <v>237</v>
      </c>
      <c r="F19" s="31" t="s">
        <v>246</v>
      </c>
      <c r="G19" s="21" t="s">
        <v>248</v>
      </c>
    </row>
    <row r="20" spans="1:7" ht="87.75" customHeight="1" x14ac:dyDescent="0.25">
      <c r="A20" s="13" t="str">
        <f>Tabela36[[#This Row],[ID]]</f>
        <v>P017</v>
      </c>
      <c r="B20" s="11" t="s">
        <v>238</v>
      </c>
      <c r="C20" s="11" t="s">
        <v>238</v>
      </c>
      <c r="D20" s="11" t="s">
        <v>238</v>
      </c>
      <c r="E20" s="11" t="s">
        <v>238</v>
      </c>
      <c r="F20" s="31" t="s">
        <v>247</v>
      </c>
      <c r="G20" s="21" t="s">
        <v>248</v>
      </c>
    </row>
    <row r="21" spans="1:7" ht="87.75" customHeight="1" thickBot="1" x14ac:dyDescent="0.3">
      <c r="A21" s="10" t="str">
        <f>Tabela36[[#This Row],[ID]]</f>
        <v>P018</v>
      </c>
      <c r="B21" s="15" t="s">
        <v>238</v>
      </c>
      <c r="C21" s="15" t="s">
        <v>238</v>
      </c>
      <c r="D21" s="15" t="s">
        <v>238</v>
      </c>
      <c r="E21" s="15" t="s">
        <v>237</v>
      </c>
      <c r="F21" s="38" t="s">
        <v>246</v>
      </c>
      <c r="G21" s="26" t="s">
        <v>248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40114-2923-47DC-80C1-13EC8410AB2D}">
  <dimension ref="A1:J21"/>
  <sheetViews>
    <sheetView topLeftCell="B1" workbookViewId="0">
      <pane ySplit="3" topLeftCell="A20" activePane="bottomLeft" state="frozen"/>
      <selection pane="bottomLeft" activeCell="D23" sqref="D23"/>
    </sheetView>
  </sheetViews>
  <sheetFormatPr defaultRowHeight="15" x14ac:dyDescent="0.25"/>
  <cols>
    <col min="1" max="1" width="16.7109375" bestFit="1" customWidth="1"/>
    <col min="2" max="2" width="27.28515625" customWidth="1"/>
    <col min="3" max="3" width="19" customWidth="1"/>
    <col min="4" max="4" width="19.28515625" customWidth="1"/>
    <col min="5" max="5" width="19.7109375" bestFit="1" customWidth="1"/>
    <col min="6" max="9" width="19.7109375" customWidth="1"/>
    <col min="10" max="10" width="19.42578125" customWidth="1"/>
  </cols>
  <sheetData>
    <row r="1" spans="1:10" ht="27.75" customHeight="1" x14ac:dyDescent="0.25">
      <c r="A1" s="3" t="s">
        <v>176</v>
      </c>
      <c r="B1" s="4"/>
      <c r="C1" s="4"/>
      <c r="D1" s="4"/>
      <c r="E1" s="4"/>
      <c r="F1" s="27"/>
      <c r="G1" s="27"/>
      <c r="H1" s="27"/>
      <c r="I1" s="27"/>
      <c r="J1" s="5"/>
    </row>
    <row r="2" spans="1:10" ht="3" customHeight="1" x14ac:dyDescent="0.3">
      <c r="A2" s="6" t="s">
        <v>177</v>
      </c>
      <c r="B2" s="1"/>
      <c r="C2" s="1"/>
      <c r="D2" s="1"/>
      <c r="E2" s="1"/>
      <c r="F2" s="28"/>
      <c r="G2" s="28"/>
      <c r="H2" s="28"/>
      <c r="I2" s="28"/>
      <c r="J2" s="7"/>
    </row>
    <row r="3" spans="1:10" ht="37.5" customHeight="1" x14ac:dyDescent="0.25">
      <c r="A3" s="8" t="s">
        <v>177</v>
      </c>
      <c r="B3" s="2" t="s">
        <v>178</v>
      </c>
      <c r="C3" s="2" t="s">
        <v>7</v>
      </c>
      <c r="D3" s="2" t="s">
        <v>179</v>
      </c>
      <c r="E3" s="2" t="s">
        <v>180</v>
      </c>
      <c r="F3" s="29" t="s">
        <v>219</v>
      </c>
      <c r="G3" s="29" t="s">
        <v>220</v>
      </c>
      <c r="H3" s="29" t="s">
        <v>3</v>
      </c>
      <c r="I3" s="29" t="s">
        <v>181</v>
      </c>
      <c r="J3" s="9" t="s">
        <v>182</v>
      </c>
    </row>
    <row r="4" spans="1:10" ht="87.75" customHeight="1" x14ac:dyDescent="0.25">
      <c r="A4" s="13" t="s">
        <v>183</v>
      </c>
      <c r="B4" s="11" t="s">
        <v>201</v>
      </c>
      <c r="C4" s="11" t="str">
        <f>Tabela3[[#This Row],[Categoria]]</f>
        <v>Redução de Residuos</v>
      </c>
      <c r="D4" s="11">
        <v>5</v>
      </c>
      <c r="E4" s="11" t="s">
        <v>222</v>
      </c>
      <c r="F4" s="31">
        <v>46259</v>
      </c>
      <c r="G4" s="11" t="s">
        <v>221</v>
      </c>
      <c r="H4" s="11">
        <v>1</v>
      </c>
      <c r="I4" s="11" t="s">
        <v>237</v>
      </c>
      <c r="J4" s="21" t="s">
        <v>238</v>
      </c>
    </row>
    <row r="5" spans="1:10" ht="87.75" customHeight="1" x14ac:dyDescent="0.25">
      <c r="A5" s="13" t="s">
        <v>184</v>
      </c>
      <c r="B5" s="11" t="s">
        <v>202</v>
      </c>
      <c r="C5" s="11" t="str">
        <f>Tabela3[[#This Row],[Categoria]]</f>
        <v>Conservação</v>
      </c>
      <c r="D5" s="11">
        <v>4</v>
      </c>
      <c r="E5" s="11" t="s">
        <v>223</v>
      </c>
      <c r="F5" s="31">
        <v>46260</v>
      </c>
      <c r="G5" s="11" t="s">
        <v>221</v>
      </c>
      <c r="H5" s="11">
        <v>2</v>
      </c>
      <c r="I5" s="11" t="s">
        <v>237</v>
      </c>
      <c r="J5" s="21" t="s">
        <v>238</v>
      </c>
    </row>
    <row r="6" spans="1:10" ht="87.75" customHeight="1" x14ac:dyDescent="0.25">
      <c r="A6" s="13" t="s">
        <v>185</v>
      </c>
      <c r="B6" s="11" t="s">
        <v>203</v>
      </c>
      <c r="C6" s="11" t="str">
        <f>Tabela3[[#This Row],[Categoria]]</f>
        <v>Energia Renovável</v>
      </c>
      <c r="D6" s="11">
        <v>5</v>
      </c>
      <c r="E6" s="11" t="s">
        <v>223</v>
      </c>
      <c r="F6" s="31">
        <v>46261</v>
      </c>
      <c r="G6" s="11" t="s">
        <v>221</v>
      </c>
      <c r="H6" s="11">
        <v>3</v>
      </c>
      <c r="I6" s="11" t="s">
        <v>237</v>
      </c>
      <c r="J6" s="21" t="s">
        <v>238</v>
      </c>
    </row>
    <row r="7" spans="1:10" ht="87.75" customHeight="1" x14ac:dyDescent="0.25">
      <c r="A7" s="13" t="s">
        <v>186</v>
      </c>
      <c r="B7" s="11" t="s">
        <v>204</v>
      </c>
      <c r="C7" s="11" t="str">
        <f>Tabela3[[#This Row],[Categoria]]</f>
        <v>Consumo Consciente</v>
      </c>
      <c r="D7" s="11">
        <v>7</v>
      </c>
      <c r="E7" s="11" t="s">
        <v>224</v>
      </c>
      <c r="F7" s="31">
        <v>46262</v>
      </c>
      <c r="G7" s="11" t="s">
        <v>221</v>
      </c>
      <c r="H7" s="11">
        <v>4</v>
      </c>
      <c r="I7" s="11" t="s">
        <v>238</v>
      </c>
      <c r="J7" s="21" t="s">
        <v>238</v>
      </c>
    </row>
    <row r="8" spans="1:10" ht="87.75" customHeight="1" x14ac:dyDescent="0.25">
      <c r="A8" s="13" t="s">
        <v>187</v>
      </c>
      <c r="B8" s="11" t="s">
        <v>205</v>
      </c>
      <c r="C8" s="11" t="str">
        <f>Tabela3[[#This Row],[Categoria]]</f>
        <v>Mobilidade Sustentável</v>
      </c>
      <c r="D8" s="11">
        <v>40</v>
      </c>
      <c r="E8" s="11" t="s">
        <v>225</v>
      </c>
      <c r="F8" s="31">
        <v>46263</v>
      </c>
      <c r="G8" s="11" t="s">
        <v>221</v>
      </c>
      <c r="H8" s="11">
        <v>5</v>
      </c>
      <c r="I8" s="11" t="s">
        <v>237</v>
      </c>
      <c r="J8" s="21" t="s">
        <v>238</v>
      </c>
    </row>
    <row r="9" spans="1:10" ht="87.75" customHeight="1" x14ac:dyDescent="0.25">
      <c r="A9" s="13" t="s">
        <v>188</v>
      </c>
      <c r="B9" s="11" t="s">
        <v>206</v>
      </c>
      <c r="C9" s="11" t="str">
        <f>Tabela3[[#This Row],[Categoria]]</f>
        <v>Reciclagem</v>
      </c>
      <c r="D9" s="11">
        <v>5</v>
      </c>
      <c r="E9" s="11" t="s">
        <v>226</v>
      </c>
      <c r="F9" s="31">
        <v>46264</v>
      </c>
      <c r="G9" s="11" t="s">
        <v>221</v>
      </c>
      <c r="H9" s="11">
        <v>6</v>
      </c>
      <c r="I9" s="11" t="s">
        <v>238</v>
      </c>
      <c r="J9" s="21" t="s">
        <v>238</v>
      </c>
    </row>
    <row r="10" spans="1:10" ht="87.75" customHeight="1" x14ac:dyDescent="0.25">
      <c r="A10" s="13" t="s">
        <v>189</v>
      </c>
      <c r="B10" s="11" t="s">
        <v>207</v>
      </c>
      <c r="C10" s="11" t="str">
        <f>Tabela3[[#This Row],[Categoria]]</f>
        <v>Reflorestamento</v>
      </c>
      <c r="D10" s="11">
        <v>6</v>
      </c>
      <c r="E10" s="11" t="s">
        <v>227</v>
      </c>
      <c r="F10" s="31">
        <v>46265</v>
      </c>
      <c r="G10" s="11" t="s">
        <v>221</v>
      </c>
      <c r="H10" s="11">
        <v>7</v>
      </c>
      <c r="I10" s="11" t="s">
        <v>237</v>
      </c>
      <c r="J10" s="21" t="s">
        <v>238</v>
      </c>
    </row>
    <row r="11" spans="1:10" ht="87.75" customHeight="1" x14ac:dyDescent="0.25">
      <c r="A11" s="13" t="s">
        <v>190</v>
      </c>
      <c r="B11" s="11" t="s">
        <v>208</v>
      </c>
      <c r="C11" s="11" t="str">
        <f>Tabela3[[#This Row],[Categoria]]</f>
        <v>Reaproveitamento</v>
      </c>
      <c r="D11" s="11">
        <v>1</v>
      </c>
      <c r="E11" s="11" t="s">
        <v>228</v>
      </c>
      <c r="F11" s="31">
        <v>46266</v>
      </c>
      <c r="G11" s="11" t="s">
        <v>221</v>
      </c>
      <c r="H11" s="11">
        <v>1</v>
      </c>
      <c r="I11" s="11" t="s">
        <v>237</v>
      </c>
      <c r="J11" s="21" t="s">
        <v>237</v>
      </c>
    </row>
    <row r="12" spans="1:10" ht="87.75" customHeight="1" x14ac:dyDescent="0.25">
      <c r="A12" s="13" t="s">
        <v>191</v>
      </c>
      <c r="B12" s="11" t="s">
        <v>209</v>
      </c>
      <c r="C12" s="11" t="str">
        <f>Tabela3[[#This Row],[Categoria]]</f>
        <v>Economia de Energia</v>
      </c>
      <c r="D12" s="11">
        <v>35</v>
      </c>
      <c r="E12" s="11" t="s">
        <v>229</v>
      </c>
      <c r="F12" s="31">
        <v>46267</v>
      </c>
      <c r="G12" s="11" t="s">
        <v>221</v>
      </c>
      <c r="H12" s="11">
        <v>2</v>
      </c>
      <c r="I12" s="11" t="s">
        <v>237</v>
      </c>
      <c r="J12" s="21" t="s">
        <v>238</v>
      </c>
    </row>
    <row r="13" spans="1:10" ht="87.75" customHeight="1" x14ac:dyDescent="0.25">
      <c r="A13" s="13" t="s">
        <v>192</v>
      </c>
      <c r="B13" s="11" t="s">
        <v>210</v>
      </c>
      <c r="C13" s="11" t="str">
        <f>Tabela3[[#This Row],[Categoria]]</f>
        <v>Eficiência Energética</v>
      </c>
      <c r="D13" s="11">
        <v>10</v>
      </c>
      <c r="E13" s="11" t="s">
        <v>230</v>
      </c>
      <c r="F13" s="31">
        <v>46268</v>
      </c>
      <c r="G13" s="11" t="s">
        <v>221</v>
      </c>
      <c r="H13" s="11">
        <v>3</v>
      </c>
      <c r="I13" s="11" t="s">
        <v>237</v>
      </c>
      <c r="J13" s="21" t="s">
        <v>237</v>
      </c>
    </row>
    <row r="14" spans="1:10" ht="87.75" customHeight="1" x14ac:dyDescent="0.25">
      <c r="A14" s="13" t="s">
        <v>193</v>
      </c>
      <c r="B14" s="11" t="s">
        <v>211</v>
      </c>
      <c r="C14" s="11" t="str">
        <f>Tabela3[[#This Row],[Categoria]]</f>
        <v>Agricultura Sustentável</v>
      </c>
      <c r="D14" s="11">
        <v>4</v>
      </c>
      <c r="E14" s="11" t="s">
        <v>231</v>
      </c>
      <c r="F14" s="31">
        <v>46269</v>
      </c>
      <c r="G14" s="11" t="s">
        <v>221</v>
      </c>
      <c r="H14" s="11">
        <v>4</v>
      </c>
      <c r="I14" s="11" t="s">
        <v>237</v>
      </c>
      <c r="J14" s="21" t="s">
        <v>238</v>
      </c>
    </row>
    <row r="15" spans="1:10" ht="87.75" customHeight="1" x14ac:dyDescent="0.25">
      <c r="A15" s="13" t="s">
        <v>194</v>
      </c>
      <c r="B15" s="11" t="s">
        <v>212</v>
      </c>
      <c r="C15" s="11" t="str">
        <f>Tabela3[[#This Row],[Categoria]]</f>
        <v>Economia de Água</v>
      </c>
      <c r="D15" s="11">
        <v>8</v>
      </c>
      <c r="E15" s="11" t="s">
        <v>232</v>
      </c>
      <c r="F15" s="31">
        <v>46270</v>
      </c>
      <c r="G15" s="11" t="s">
        <v>221</v>
      </c>
      <c r="H15" s="11">
        <v>5</v>
      </c>
      <c r="I15" s="11" t="s">
        <v>237</v>
      </c>
      <c r="J15" s="21" t="s">
        <v>238</v>
      </c>
    </row>
    <row r="16" spans="1:10" ht="87.75" customHeight="1" x14ac:dyDescent="0.25">
      <c r="A16" s="13" t="s">
        <v>195</v>
      </c>
      <c r="B16" s="11" t="s">
        <v>213</v>
      </c>
      <c r="C16" s="11" t="str">
        <f>Tabela3[[#This Row],[Categoria]]</f>
        <v>Ação Coletiva</v>
      </c>
      <c r="D16" s="11">
        <v>1</v>
      </c>
      <c r="E16" s="11" t="s">
        <v>233</v>
      </c>
      <c r="F16" s="31">
        <v>46271</v>
      </c>
      <c r="G16" s="11" t="s">
        <v>221</v>
      </c>
      <c r="H16" s="11">
        <v>6</v>
      </c>
      <c r="I16" s="11" t="s">
        <v>237</v>
      </c>
      <c r="J16" s="21" t="s">
        <v>238</v>
      </c>
    </row>
    <row r="17" spans="1:10" ht="87.75" customHeight="1" x14ac:dyDescent="0.25">
      <c r="A17" s="13" t="s">
        <v>196</v>
      </c>
      <c r="B17" s="11" t="s">
        <v>214</v>
      </c>
      <c r="C17" s="11" t="str">
        <f>Tabela3[[#This Row],[Categoria]]</f>
        <v>Educação Ambiental</v>
      </c>
      <c r="D17" s="11">
        <v>1</v>
      </c>
      <c r="E17" s="11" t="s">
        <v>234</v>
      </c>
      <c r="F17" s="31">
        <v>46272</v>
      </c>
      <c r="G17" s="11" t="s">
        <v>221</v>
      </c>
      <c r="H17" s="11">
        <v>7</v>
      </c>
      <c r="I17" s="11" t="s">
        <v>237</v>
      </c>
      <c r="J17" s="21" t="s">
        <v>238</v>
      </c>
    </row>
    <row r="18" spans="1:10" ht="87.75" customHeight="1" x14ac:dyDescent="0.25">
      <c r="A18" s="13" t="s">
        <v>197</v>
      </c>
      <c r="B18" s="11" t="s">
        <v>215</v>
      </c>
      <c r="C18" s="11" t="str">
        <f>Tabela3[[#This Row],[Categoria]]</f>
        <v>Lixo Eletrônico</v>
      </c>
      <c r="D18" s="11">
        <v>7</v>
      </c>
      <c r="E18" s="11" t="s">
        <v>224</v>
      </c>
      <c r="F18" s="31">
        <v>46273</v>
      </c>
      <c r="G18" s="11" t="s">
        <v>221</v>
      </c>
      <c r="H18" s="11">
        <v>1</v>
      </c>
      <c r="I18" s="11" t="s">
        <v>237</v>
      </c>
      <c r="J18" s="21" t="s">
        <v>238</v>
      </c>
    </row>
    <row r="19" spans="1:10" ht="87.75" customHeight="1" x14ac:dyDescent="0.25">
      <c r="A19" s="13" t="s">
        <v>198</v>
      </c>
      <c r="B19" s="11" t="s">
        <v>216</v>
      </c>
      <c r="C19" s="11" t="str">
        <f>Tabela3[[#This Row],[Categoria]]</f>
        <v>Biodiversidade</v>
      </c>
      <c r="D19" s="11">
        <v>1</v>
      </c>
      <c r="E19" s="11" t="s">
        <v>235</v>
      </c>
      <c r="F19" s="31">
        <v>46274</v>
      </c>
      <c r="G19" s="11" t="s">
        <v>221</v>
      </c>
      <c r="H19" s="11">
        <v>2</v>
      </c>
      <c r="I19" s="11" t="s">
        <v>237</v>
      </c>
      <c r="J19" s="21" t="s">
        <v>238</v>
      </c>
    </row>
    <row r="20" spans="1:10" ht="87.75" customHeight="1" x14ac:dyDescent="0.25">
      <c r="A20" s="13" t="s">
        <v>199</v>
      </c>
      <c r="B20" s="11" t="s">
        <v>217</v>
      </c>
      <c r="C20" s="11" t="str">
        <f>Tabela3[[#This Row],[Categoria]]</f>
        <v>Reutilização</v>
      </c>
      <c r="D20" s="11">
        <v>8</v>
      </c>
      <c r="E20" s="11" t="s">
        <v>236</v>
      </c>
      <c r="F20" s="31">
        <v>46275</v>
      </c>
      <c r="G20" s="11" t="s">
        <v>221</v>
      </c>
      <c r="H20" s="11">
        <v>3</v>
      </c>
      <c r="I20" s="11" t="s">
        <v>238</v>
      </c>
      <c r="J20" s="21" t="s">
        <v>238</v>
      </c>
    </row>
    <row r="21" spans="1:10" ht="87.75" customHeight="1" thickBot="1" x14ac:dyDescent="0.3">
      <c r="A21" s="10" t="s">
        <v>200</v>
      </c>
      <c r="B21" s="15" t="s">
        <v>218</v>
      </c>
      <c r="C21" s="15" t="str">
        <f>Tabela3[[#This Row],[Categoria]]</f>
        <v>Descarte Correto</v>
      </c>
      <c r="D21" s="15">
        <v>25</v>
      </c>
      <c r="E21" s="15" t="s">
        <v>222</v>
      </c>
      <c r="F21" s="38">
        <v>46276</v>
      </c>
      <c r="G21" s="15" t="s">
        <v>221</v>
      </c>
      <c r="H21" s="15">
        <v>4</v>
      </c>
      <c r="I21" s="15" t="s">
        <v>237</v>
      </c>
      <c r="J21" s="26" t="s">
        <v>237</v>
      </c>
    </row>
  </sheetData>
  <mergeCells count="1">
    <mergeCell ref="A1:J1"/>
  </mergeCells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251D1-5F36-40F8-9D74-B7ECDB41D019}">
  <dimension ref="A1:B116"/>
  <sheetViews>
    <sheetView workbookViewId="0">
      <selection activeCell="C4" sqref="C4"/>
    </sheetView>
  </sheetViews>
  <sheetFormatPr defaultRowHeight="15" x14ac:dyDescent="0.25"/>
  <cols>
    <col min="1" max="2" width="33.7109375" customWidth="1"/>
    <col min="3" max="3" width="10.42578125" customWidth="1"/>
    <col min="4" max="4" width="15" bestFit="1" customWidth="1"/>
    <col min="5" max="5" width="15.140625" bestFit="1" customWidth="1"/>
    <col min="6" max="6" width="14.7109375" bestFit="1" customWidth="1"/>
    <col min="7" max="7" width="18.42578125" bestFit="1" customWidth="1"/>
    <col min="8" max="8" width="10.42578125" customWidth="1"/>
  </cols>
  <sheetData>
    <row r="1" spans="1:2" ht="31.5" customHeight="1" x14ac:dyDescent="0.25">
      <c r="A1" s="3" t="s">
        <v>0</v>
      </c>
      <c r="B1" s="5"/>
    </row>
    <row r="2" spans="1:2" ht="3" customHeight="1" x14ac:dyDescent="0.3">
      <c r="A2" s="6"/>
      <c r="B2" s="7"/>
    </row>
    <row r="3" spans="1:2" ht="36.75" customHeight="1" x14ac:dyDescent="0.25">
      <c r="A3" s="8" t="s">
        <v>1</v>
      </c>
      <c r="B3" s="9" t="s">
        <v>7</v>
      </c>
    </row>
    <row r="4" spans="1:2" ht="38.25" customHeight="1" x14ac:dyDescent="0.25">
      <c r="A4" s="13" t="s">
        <v>8</v>
      </c>
      <c r="B4" s="21" t="s">
        <v>9</v>
      </c>
    </row>
    <row r="5" spans="1:2" ht="38.25" customHeight="1" x14ac:dyDescent="0.25">
      <c r="A5" s="13" t="s">
        <v>10</v>
      </c>
      <c r="B5" s="21" t="s">
        <v>9</v>
      </c>
    </row>
    <row r="6" spans="1:2" ht="38.25" customHeight="1" x14ac:dyDescent="0.25">
      <c r="A6" s="13" t="s">
        <v>20</v>
      </c>
      <c r="B6" s="21" t="s">
        <v>9</v>
      </c>
    </row>
    <row r="7" spans="1:2" ht="38.25" customHeight="1" x14ac:dyDescent="0.25">
      <c r="A7" s="13" t="s">
        <v>21</v>
      </c>
      <c r="B7" s="21" t="s">
        <v>9</v>
      </c>
    </row>
    <row r="8" spans="1:2" ht="38.25" customHeight="1" x14ac:dyDescent="0.25">
      <c r="A8" s="13" t="s">
        <v>22</v>
      </c>
      <c r="B8" s="21" t="s">
        <v>9</v>
      </c>
    </row>
    <row r="9" spans="1:2" ht="38.25" customHeight="1" x14ac:dyDescent="0.25">
      <c r="A9" s="13" t="s">
        <v>23</v>
      </c>
      <c r="B9" s="21" t="s">
        <v>9</v>
      </c>
    </row>
    <row r="10" spans="1:2" ht="38.25" customHeight="1" x14ac:dyDescent="0.25">
      <c r="A10" s="13" t="s">
        <v>24</v>
      </c>
      <c r="B10" s="21" t="s">
        <v>9</v>
      </c>
    </row>
    <row r="11" spans="1:2" ht="38.25" customHeight="1" x14ac:dyDescent="0.25">
      <c r="A11" s="13" t="s">
        <v>25</v>
      </c>
      <c r="B11" s="21" t="s">
        <v>9</v>
      </c>
    </row>
    <row r="12" spans="1:2" ht="38.25" customHeight="1" x14ac:dyDescent="0.25">
      <c r="A12" s="13" t="s">
        <v>26</v>
      </c>
      <c r="B12" s="21" t="s">
        <v>9</v>
      </c>
    </row>
    <row r="13" spans="1:2" ht="38.25" customHeight="1" x14ac:dyDescent="0.25">
      <c r="A13" s="13" t="s">
        <v>27</v>
      </c>
      <c r="B13" s="21" t="s">
        <v>9</v>
      </c>
    </row>
    <row r="14" spans="1:2" ht="38.25" customHeight="1" x14ac:dyDescent="0.25">
      <c r="A14" s="13" t="s">
        <v>28</v>
      </c>
      <c r="B14" s="21" t="s">
        <v>29</v>
      </c>
    </row>
    <row r="15" spans="1:2" ht="38.25" customHeight="1" x14ac:dyDescent="0.25">
      <c r="A15" s="13" t="s">
        <v>30</v>
      </c>
      <c r="B15" s="14" t="s">
        <v>12</v>
      </c>
    </row>
    <row r="16" spans="1:2" ht="38.25" customHeight="1" x14ac:dyDescent="0.25">
      <c r="A16" s="25" t="s">
        <v>31</v>
      </c>
      <c r="B16" s="14" t="s">
        <v>12</v>
      </c>
    </row>
    <row r="17" spans="1:2" ht="38.25" customHeight="1" x14ac:dyDescent="0.25">
      <c r="A17" s="13" t="s">
        <v>32</v>
      </c>
      <c r="B17" s="14" t="s">
        <v>12</v>
      </c>
    </row>
    <row r="18" spans="1:2" ht="38.25" customHeight="1" x14ac:dyDescent="0.25">
      <c r="A18" s="13" t="s">
        <v>33</v>
      </c>
      <c r="B18" s="14" t="s">
        <v>12</v>
      </c>
    </row>
    <row r="19" spans="1:2" ht="38.25" customHeight="1" x14ac:dyDescent="0.25">
      <c r="A19" s="13" t="s">
        <v>34</v>
      </c>
      <c r="B19" s="14" t="s">
        <v>12</v>
      </c>
    </row>
    <row r="20" spans="1:2" ht="38.25" customHeight="1" x14ac:dyDescent="0.25">
      <c r="A20" s="13" t="s">
        <v>35</v>
      </c>
      <c r="B20" s="14" t="s">
        <v>12</v>
      </c>
    </row>
    <row r="21" spans="1:2" ht="38.25" customHeight="1" x14ac:dyDescent="0.25">
      <c r="A21" s="13" t="s">
        <v>36</v>
      </c>
      <c r="B21" s="14" t="s">
        <v>12</v>
      </c>
    </row>
    <row r="22" spans="1:2" ht="38.25" customHeight="1" x14ac:dyDescent="0.25">
      <c r="A22" s="25" t="s">
        <v>37</v>
      </c>
      <c r="B22" s="14" t="s">
        <v>12</v>
      </c>
    </row>
    <row r="23" spans="1:2" ht="38.25" customHeight="1" x14ac:dyDescent="0.25">
      <c r="A23" s="13" t="s">
        <v>123</v>
      </c>
      <c r="B23" s="14" t="s">
        <v>12</v>
      </c>
    </row>
    <row r="24" spans="1:2" ht="38.25" customHeight="1" x14ac:dyDescent="0.25">
      <c r="A24" s="13" t="s">
        <v>124</v>
      </c>
      <c r="B24" s="14" t="s">
        <v>12</v>
      </c>
    </row>
    <row r="25" spans="1:2" ht="38.25" customHeight="1" x14ac:dyDescent="0.25">
      <c r="A25" s="13" t="s">
        <v>38</v>
      </c>
      <c r="B25" s="21" t="s">
        <v>47</v>
      </c>
    </row>
    <row r="26" spans="1:2" ht="38.25" customHeight="1" x14ac:dyDescent="0.25">
      <c r="A26" s="13" t="s">
        <v>39</v>
      </c>
      <c r="B26" s="21" t="s">
        <v>47</v>
      </c>
    </row>
    <row r="27" spans="1:2" ht="38.25" customHeight="1" x14ac:dyDescent="0.25">
      <c r="A27" s="13" t="s">
        <v>40</v>
      </c>
      <c r="B27" s="21" t="s">
        <v>47</v>
      </c>
    </row>
    <row r="28" spans="1:2" ht="38.25" customHeight="1" x14ac:dyDescent="0.25">
      <c r="A28" s="13" t="s">
        <v>41</v>
      </c>
      <c r="B28" s="21" t="s">
        <v>47</v>
      </c>
    </row>
    <row r="29" spans="1:2" ht="38.25" customHeight="1" x14ac:dyDescent="0.25">
      <c r="A29" s="13" t="s">
        <v>42</v>
      </c>
      <c r="B29" s="21" t="s">
        <v>47</v>
      </c>
    </row>
    <row r="30" spans="1:2" ht="38.25" customHeight="1" x14ac:dyDescent="0.25">
      <c r="A30" s="13" t="s">
        <v>43</v>
      </c>
      <c r="B30" s="21" t="s">
        <v>47</v>
      </c>
    </row>
    <row r="31" spans="1:2" ht="38.25" customHeight="1" x14ac:dyDescent="0.25">
      <c r="A31" s="13" t="s">
        <v>44</v>
      </c>
      <c r="B31" s="21" t="s">
        <v>47</v>
      </c>
    </row>
    <row r="32" spans="1:2" ht="38.25" customHeight="1" x14ac:dyDescent="0.25">
      <c r="A32" s="13" t="s">
        <v>45</v>
      </c>
      <c r="B32" s="21" t="s">
        <v>47</v>
      </c>
    </row>
    <row r="33" spans="1:2" ht="38.25" customHeight="1" x14ac:dyDescent="0.25">
      <c r="A33" s="13" t="s">
        <v>46</v>
      </c>
      <c r="B33" s="21" t="s">
        <v>47</v>
      </c>
    </row>
    <row r="34" spans="1:2" ht="38.25" customHeight="1" x14ac:dyDescent="0.25">
      <c r="A34" s="13" t="s">
        <v>48</v>
      </c>
      <c r="B34" s="21" t="s">
        <v>14</v>
      </c>
    </row>
    <row r="35" spans="1:2" ht="38.25" customHeight="1" x14ac:dyDescent="0.25">
      <c r="A35" s="13" t="s">
        <v>49</v>
      </c>
      <c r="B35" s="21" t="s">
        <v>14</v>
      </c>
    </row>
    <row r="36" spans="1:2" ht="38.25" customHeight="1" x14ac:dyDescent="0.25">
      <c r="A36" s="13" t="s">
        <v>50</v>
      </c>
      <c r="B36" s="21" t="s">
        <v>14</v>
      </c>
    </row>
    <row r="37" spans="1:2" ht="38.25" customHeight="1" x14ac:dyDescent="0.25">
      <c r="A37" s="13" t="s">
        <v>51</v>
      </c>
      <c r="B37" s="21" t="s">
        <v>14</v>
      </c>
    </row>
    <row r="38" spans="1:2" ht="38.25" customHeight="1" x14ac:dyDescent="0.25">
      <c r="A38" s="13" t="s">
        <v>52</v>
      </c>
      <c r="B38" s="21" t="s">
        <v>14</v>
      </c>
    </row>
    <row r="39" spans="1:2" ht="38.25" customHeight="1" x14ac:dyDescent="0.25">
      <c r="A39" s="13" t="s">
        <v>53</v>
      </c>
      <c r="B39" s="21" t="s">
        <v>59</v>
      </c>
    </row>
    <row r="40" spans="1:2" ht="38.25" customHeight="1" x14ac:dyDescent="0.25">
      <c r="A40" s="13" t="s">
        <v>54</v>
      </c>
      <c r="B40" s="21" t="s">
        <v>59</v>
      </c>
    </row>
    <row r="41" spans="1:2" ht="38.25" customHeight="1" x14ac:dyDescent="0.25">
      <c r="A41" s="13" t="s">
        <v>55</v>
      </c>
      <c r="B41" s="21" t="s">
        <v>59</v>
      </c>
    </row>
    <row r="42" spans="1:2" ht="38.25" customHeight="1" x14ac:dyDescent="0.25">
      <c r="A42" s="13" t="s">
        <v>56</v>
      </c>
      <c r="B42" s="21" t="s">
        <v>59</v>
      </c>
    </row>
    <row r="43" spans="1:2" ht="38.25" customHeight="1" x14ac:dyDescent="0.25">
      <c r="A43" s="13" t="s">
        <v>57</v>
      </c>
      <c r="B43" s="21" t="s">
        <v>59</v>
      </c>
    </row>
    <row r="44" spans="1:2" ht="38.25" customHeight="1" x14ac:dyDescent="0.25">
      <c r="A44" s="13" t="s">
        <v>58</v>
      </c>
      <c r="B44" s="21" t="s">
        <v>59</v>
      </c>
    </row>
    <row r="45" spans="1:2" ht="38.25" customHeight="1" x14ac:dyDescent="0.25">
      <c r="A45" s="13" t="s">
        <v>60</v>
      </c>
      <c r="B45" s="21" t="s">
        <v>64</v>
      </c>
    </row>
    <row r="46" spans="1:2" ht="38.25" customHeight="1" x14ac:dyDescent="0.25">
      <c r="A46" s="13" t="s">
        <v>61</v>
      </c>
      <c r="B46" s="21" t="s">
        <v>64</v>
      </c>
    </row>
    <row r="47" spans="1:2" ht="38.25" customHeight="1" x14ac:dyDescent="0.25">
      <c r="A47" s="13" t="s">
        <v>62</v>
      </c>
      <c r="B47" s="21" t="s">
        <v>64</v>
      </c>
    </row>
    <row r="48" spans="1:2" ht="38.25" customHeight="1" x14ac:dyDescent="0.25">
      <c r="A48" s="13" t="s">
        <v>63</v>
      </c>
      <c r="B48" s="21" t="s">
        <v>64</v>
      </c>
    </row>
    <row r="49" spans="1:2" ht="38.25" customHeight="1" x14ac:dyDescent="0.25">
      <c r="A49" s="13" t="s">
        <v>65</v>
      </c>
      <c r="B49" s="21" t="s">
        <v>67</v>
      </c>
    </row>
    <row r="50" spans="1:2" ht="38.25" customHeight="1" x14ac:dyDescent="0.25">
      <c r="A50" s="13" t="s">
        <v>66</v>
      </c>
      <c r="B50" s="21" t="s">
        <v>67</v>
      </c>
    </row>
    <row r="51" spans="1:2" ht="38.25" customHeight="1" x14ac:dyDescent="0.25">
      <c r="A51" s="13" t="s">
        <v>68</v>
      </c>
      <c r="B51" s="21" t="s">
        <v>82</v>
      </c>
    </row>
    <row r="52" spans="1:2" ht="38.25" customHeight="1" x14ac:dyDescent="0.25">
      <c r="A52" s="13" t="s">
        <v>69</v>
      </c>
      <c r="B52" s="21" t="s">
        <v>82</v>
      </c>
    </row>
    <row r="53" spans="1:2" ht="38.25" customHeight="1" x14ac:dyDescent="0.25">
      <c r="A53" s="13" t="s">
        <v>70</v>
      </c>
      <c r="B53" s="21" t="s">
        <v>82</v>
      </c>
    </row>
    <row r="54" spans="1:2" ht="38.25" customHeight="1" x14ac:dyDescent="0.25">
      <c r="A54" s="13" t="s">
        <v>71</v>
      </c>
      <c r="B54" s="21" t="s">
        <v>82</v>
      </c>
    </row>
    <row r="55" spans="1:2" ht="38.25" customHeight="1" x14ac:dyDescent="0.25">
      <c r="A55" s="13" t="s">
        <v>72</v>
      </c>
      <c r="B55" s="21" t="s">
        <v>82</v>
      </c>
    </row>
    <row r="56" spans="1:2" ht="38.25" customHeight="1" x14ac:dyDescent="0.25">
      <c r="A56" s="13" t="s">
        <v>73</v>
      </c>
      <c r="B56" s="21" t="s">
        <v>82</v>
      </c>
    </row>
    <row r="57" spans="1:2" ht="38.25" customHeight="1" x14ac:dyDescent="0.25">
      <c r="A57" s="13" t="s">
        <v>74</v>
      </c>
      <c r="B57" s="21" t="s">
        <v>82</v>
      </c>
    </row>
    <row r="58" spans="1:2" ht="38.25" customHeight="1" x14ac:dyDescent="0.25">
      <c r="A58" s="13" t="s">
        <v>75</v>
      </c>
      <c r="B58" s="21" t="s">
        <v>82</v>
      </c>
    </row>
    <row r="59" spans="1:2" ht="38.25" customHeight="1" x14ac:dyDescent="0.25">
      <c r="A59" s="13" t="s">
        <v>76</v>
      </c>
      <c r="B59" s="21" t="s">
        <v>82</v>
      </c>
    </row>
    <row r="60" spans="1:2" ht="38.25" customHeight="1" x14ac:dyDescent="0.25">
      <c r="A60" s="13" t="s">
        <v>77</v>
      </c>
      <c r="B60" s="21" t="s">
        <v>82</v>
      </c>
    </row>
    <row r="61" spans="1:2" ht="38.25" customHeight="1" x14ac:dyDescent="0.25">
      <c r="A61" s="13" t="s">
        <v>78</v>
      </c>
      <c r="B61" s="21" t="s">
        <v>82</v>
      </c>
    </row>
    <row r="62" spans="1:2" ht="38.25" customHeight="1" x14ac:dyDescent="0.25">
      <c r="A62" s="13" t="s">
        <v>79</v>
      </c>
      <c r="B62" s="21" t="s">
        <v>82</v>
      </c>
    </row>
    <row r="63" spans="1:2" ht="38.25" customHeight="1" x14ac:dyDescent="0.25">
      <c r="A63" s="13" t="s">
        <v>80</v>
      </c>
      <c r="B63" s="21" t="s">
        <v>82</v>
      </c>
    </row>
    <row r="64" spans="1:2" ht="38.25" customHeight="1" x14ac:dyDescent="0.25">
      <c r="A64" s="13" t="s">
        <v>81</v>
      </c>
      <c r="B64" s="21" t="s">
        <v>82</v>
      </c>
    </row>
    <row r="65" spans="1:2" ht="38.25" customHeight="1" x14ac:dyDescent="0.25">
      <c r="A65" s="13" t="s">
        <v>83</v>
      </c>
      <c r="B65" s="21" t="s">
        <v>86</v>
      </c>
    </row>
    <row r="66" spans="1:2" ht="38.25" customHeight="1" x14ac:dyDescent="0.25">
      <c r="A66" s="13" t="s">
        <v>84</v>
      </c>
      <c r="B66" s="21" t="s">
        <v>86</v>
      </c>
    </row>
    <row r="67" spans="1:2" ht="38.25" customHeight="1" x14ac:dyDescent="0.25">
      <c r="A67" s="13" t="s">
        <v>85</v>
      </c>
      <c r="B67" s="21" t="s">
        <v>86</v>
      </c>
    </row>
    <row r="68" spans="1:2" ht="38.25" customHeight="1" x14ac:dyDescent="0.25">
      <c r="A68" s="13" t="s">
        <v>87</v>
      </c>
      <c r="B68" s="21" t="s">
        <v>17</v>
      </c>
    </row>
    <row r="69" spans="1:2" ht="38.25" customHeight="1" x14ac:dyDescent="0.25">
      <c r="A69" s="13" t="s">
        <v>88</v>
      </c>
      <c r="B69" s="21" t="s">
        <v>17</v>
      </c>
    </row>
    <row r="70" spans="1:2" ht="38.25" customHeight="1" x14ac:dyDescent="0.25">
      <c r="A70" s="25" t="s">
        <v>89</v>
      </c>
      <c r="B70" s="21" t="s">
        <v>17</v>
      </c>
    </row>
    <row r="71" spans="1:2" ht="38.25" customHeight="1" x14ac:dyDescent="0.25">
      <c r="A71" s="13" t="s">
        <v>90</v>
      </c>
      <c r="B71" s="21" t="s">
        <v>17</v>
      </c>
    </row>
    <row r="72" spans="1:2" ht="38.25" customHeight="1" x14ac:dyDescent="0.25">
      <c r="A72" s="13" t="s">
        <v>91</v>
      </c>
      <c r="B72" s="21" t="s">
        <v>17</v>
      </c>
    </row>
    <row r="73" spans="1:2" ht="38.25" customHeight="1" x14ac:dyDescent="0.25">
      <c r="A73" s="13" t="s">
        <v>92</v>
      </c>
      <c r="B73" s="21" t="s">
        <v>95</v>
      </c>
    </row>
    <row r="74" spans="1:2" ht="38.25" customHeight="1" x14ac:dyDescent="0.25">
      <c r="A74" s="13" t="s">
        <v>93</v>
      </c>
      <c r="B74" s="21" t="s">
        <v>95</v>
      </c>
    </row>
    <row r="75" spans="1:2" ht="38.25" customHeight="1" x14ac:dyDescent="0.25">
      <c r="A75" s="13" t="s">
        <v>94</v>
      </c>
      <c r="B75" s="21" t="s">
        <v>95</v>
      </c>
    </row>
    <row r="76" spans="1:2" ht="38.25" customHeight="1" x14ac:dyDescent="0.25">
      <c r="A76" s="13" t="s">
        <v>96</v>
      </c>
      <c r="B76" s="21" t="s">
        <v>98</v>
      </c>
    </row>
    <row r="77" spans="1:2" ht="38.25" customHeight="1" x14ac:dyDescent="0.25">
      <c r="A77" s="13" t="s">
        <v>97</v>
      </c>
      <c r="B77" s="21" t="s">
        <v>98</v>
      </c>
    </row>
    <row r="78" spans="1:2" ht="38.25" customHeight="1" x14ac:dyDescent="0.25">
      <c r="A78" s="13" t="s">
        <v>99</v>
      </c>
      <c r="B78" s="21" t="s">
        <v>106</v>
      </c>
    </row>
    <row r="79" spans="1:2" ht="38.25" customHeight="1" x14ac:dyDescent="0.25">
      <c r="A79" s="13" t="s">
        <v>100</v>
      </c>
      <c r="B79" s="21" t="s">
        <v>106</v>
      </c>
    </row>
    <row r="80" spans="1:2" ht="38.25" customHeight="1" x14ac:dyDescent="0.25">
      <c r="A80" s="13" t="s">
        <v>101</v>
      </c>
      <c r="B80" s="21" t="s">
        <v>106</v>
      </c>
    </row>
    <row r="81" spans="1:2" ht="38.25" customHeight="1" x14ac:dyDescent="0.25">
      <c r="A81" s="13" t="s">
        <v>102</v>
      </c>
      <c r="B81" s="21" t="s">
        <v>106</v>
      </c>
    </row>
    <row r="82" spans="1:2" ht="38.25" customHeight="1" x14ac:dyDescent="0.25">
      <c r="A82" s="13" t="s">
        <v>103</v>
      </c>
      <c r="B82" s="21" t="s">
        <v>106</v>
      </c>
    </row>
    <row r="83" spans="1:2" ht="38.25" customHeight="1" x14ac:dyDescent="0.25">
      <c r="A83" s="13" t="s">
        <v>104</v>
      </c>
      <c r="B83" s="21" t="s">
        <v>106</v>
      </c>
    </row>
    <row r="84" spans="1:2" ht="38.25" customHeight="1" x14ac:dyDescent="0.25">
      <c r="A84" s="13" t="s">
        <v>105</v>
      </c>
      <c r="B84" s="21" t="s">
        <v>106</v>
      </c>
    </row>
    <row r="85" spans="1:2" ht="38.25" customHeight="1" x14ac:dyDescent="0.25">
      <c r="A85" s="13" t="s">
        <v>107</v>
      </c>
      <c r="B85" s="21" t="s">
        <v>106</v>
      </c>
    </row>
    <row r="86" spans="1:2" ht="38.25" customHeight="1" x14ac:dyDescent="0.25">
      <c r="A86" s="13" t="s">
        <v>108</v>
      </c>
      <c r="B86" s="21" t="s">
        <v>106</v>
      </c>
    </row>
    <row r="87" spans="1:2" ht="38.25" customHeight="1" x14ac:dyDescent="0.25">
      <c r="A87" s="13" t="s">
        <v>109</v>
      </c>
      <c r="B87" s="21" t="s">
        <v>106</v>
      </c>
    </row>
    <row r="88" spans="1:2" ht="38.25" customHeight="1" x14ac:dyDescent="0.25">
      <c r="A88" s="13" t="s">
        <v>110</v>
      </c>
      <c r="B88" s="21" t="s">
        <v>106</v>
      </c>
    </row>
    <row r="89" spans="1:2" ht="38.25" customHeight="1" x14ac:dyDescent="0.25">
      <c r="A89" s="13" t="s">
        <v>111</v>
      </c>
      <c r="B89" s="21" t="s">
        <v>106</v>
      </c>
    </row>
    <row r="90" spans="1:2" ht="38.25" customHeight="1" x14ac:dyDescent="0.25">
      <c r="A90" s="13" t="s">
        <v>112</v>
      </c>
      <c r="B90" s="21" t="s">
        <v>106</v>
      </c>
    </row>
    <row r="91" spans="1:2" ht="38.25" customHeight="1" x14ac:dyDescent="0.25">
      <c r="A91" s="13" t="s">
        <v>113</v>
      </c>
      <c r="B91" s="21" t="s">
        <v>106</v>
      </c>
    </row>
    <row r="92" spans="1:2" ht="38.25" customHeight="1" x14ac:dyDescent="0.25">
      <c r="A92" s="13" t="s">
        <v>121</v>
      </c>
      <c r="B92" s="21" t="s">
        <v>106</v>
      </c>
    </row>
    <row r="93" spans="1:2" ht="38.25" customHeight="1" x14ac:dyDescent="0.25">
      <c r="A93" s="13" t="s">
        <v>122</v>
      </c>
      <c r="B93" s="21" t="s">
        <v>106</v>
      </c>
    </row>
    <row r="94" spans="1:2" ht="38.25" customHeight="1" x14ac:dyDescent="0.25">
      <c r="A94" s="13" t="s">
        <v>114</v>
      </c>
      <c r="B94" s="21" t="s">
        <v>120</v>
      </c>
    </row>
    <row r="95" spans="1:2" ht="38.25" customHeight="1" x14ac:dyDescent="0.25">
      <c r="A95" s="13" t="s">
        <v>115</v>
      </c>
      <c r="B95" s="21" t="s">
        <v>120</v>
      </c>
    </row>
    <row r="96" spans="1:2" ht="38.25" customHeight="1" x14ac:dyDescent="0.25">
      <c r="A96" s="13" t="s">
        <v>116</v>
      </c>
      <c r="B96" s="21" t="s">
        <v>120</v>
      </c>
    </row>
    <row r="97" spans="1:2" ht="38.25" customHeight="1" x14ac:dyDescent="0.25">
      <c r="A97" s="13" t="s">
        <v>117</v>
      </c>
      <c r="B97" s="21" t="s">
        <v>120</v>
      </c>
    </row>
    <row r="98" spans="1:2" ht="38.25" customHeight="1" x14ac:dyDescent="0.25">
      <c r="A98" s="13" t="s">
        <v>118</v>
      </c>
      <c r="B98" s="21" t="s">
        <v>120</v>
      </c>
    </row>
    <row r="99" spans="1:2" ht="38.25" customHeight="1" x14ac:dyDescent="0.25">
      <c r="A99" s="13" t="s">
        <v>119</v>
      </c>
      <c r="B99" s="21" t="s">
        <v>120</v>
      </c>
    </row>
    <row r="100" spans="1:2" ht="38.25" customHeight="1" x14ac:dyDescent="0.25">
      <c r="A100" s="13" t="s">
        <v>125</v>
      </c>
      <c r="B100" s="21" t="s">
        <v>129</v>
      </c>
    </row>
    <row r="101" spans="1:2" ht="38.25" customHeight="1" x14ac:dyDescent="0.25">
      <c r="A101" s="13" t="s">
        <v>126</v>
      </c>
      <c r="B101" s="21" t="s">
        <v>129</v>
      </c>
    </row>
    <row r="102" spans="1:2" ht="38.25" customHeight="1" x14ac:dyDescent="0.25">
      <c r="A102" s="13" t="s">
        <v>127</v>
      </c>
      <c r="B102" s="21" t="s">
        <v>129</v>
      </c>
    </row>
    <row r="103" spans="1:2" ht="38.25" customHeight="1" x14ac:dyDescent="0.25">
      <c r="A103" s="13" t="s">
        <v>128</v>
      </c>
      <c r="B103" s="21" t="s">
        <v>129</v>
      </c>
    </row>
    <row r="104" spans="1:2" ht="38.25" customHeight="1" x14ac:dyDescent="0.25">
      <c r="A104" s="13" t="s">
        <v>130</v>
      </c>
      <c r="B104" s="21" t="s">
        <v>134</v>
      </c>
    </row>
    <row r="105" spans="1:2" ht="38.25" customHeight="1" x14ac:dyDescent="0.25">
      <c r="A105" s="13" t="s">
        <v>131</v>
      </c>
      <c r="B105" s="21" t="s">
        <v>134</v>
      </c>
    </row>
    <row r="106" spans="1:2" ht="38.25" customHeight="1" x14ac:dyDescent="0.25">
      <c r="A106" s="13" t="s">
        <v>132</v>
      </c>
      <c r="B106" s="21" t="s">
        <v>134</v>
      </c>
    </row>
    <row r="107" spans="1:2" ht="38.25" customHeight="1" x14ac:dyDescent="0.25">
      <c r="A107" s="13" t="s">
        <v>133</v>
      </c>
      <c r="B107" s="21" t="s">
        <v>134</v>
      </c>
    </row>
    <row r="108" spans="1:2" ht="38.25" customHeight="1" x14ac:dyDescent="0.25">
      <c r="A108" s="13" t="s">
        <v>135</v>
      </c>
      <c r="B108" s="21" t="s">
        <v>144</v>
      </c>
    </row>
    <row r="109" spans="1:2" ht="38.25" customHeight="1" x14ac:dyDescent="0.25">
      <c r="A109" s="13" t="s">
        <v>136</v>
      </c>
      <c r="B109" s="21" t="s">
        <v>144</v>
      </c>
    </row>
    <row r="110" spans="1:2" ht="38.25" customHeight="1" x14ac:dyDescent="0.25">
      <c r="A110" s="13" t="s">
        <v>137</v>
      </c>
      <c r="B110" s="21" t="s">
        <v>144</v>
      </c>
    </row>
    <row r="111" spans="1:2" ht="38.25" customHeight="1" x14ac:dyDescent="0.25">
      <c r="A111" s="13" t="s">
        <v>139</v>
      </c>
      <c r="B111" s="21" t="s">
        <v>144</v>
      </c>
    </row>
    <row r="112" spans="1:2" ht="38.25" customHeight="1" x14ac:dyDescent="0.25">
      <c r="A112" s="13" t="s">
        <v>138</v>
      </c>
      <c r="B112" s="21" t="s">
        <v>144</v>
      </c>
    </row>
    <row r="113" spans="1:2" ht="38.25" customHeight="1" x14ac:dyDescent="0.25">
      <c r="A113" s="13" t="s">
        <v>140</v>
      </c>
      <c r="B113" s="21" t="s">
        <v>144</v>
      </c>
    </row>
    <row r="114" spans="1:2" ht="38.25" customHeight="1" x14ac:dyDescent="0.25">
      <c r="A114" s="13" t="s">
        <v>141</v>
      </c>
      <c r="B114" s="21" t="s">
        <v>144</v>
      </c>
    </row>
    <row r="115" spans="1:2" ht="38.25" customHeight="1" x14ac:dyDescent="0.25">
      <c r="A115" s="13" t="s">
        <v>142</v>
      </c>
      <c r="B115" s="21" t="s">
        <v>144</v>
      </c>
    </row>
    <row r="116" spans="1:2" ht="38.25" customHeight="1" thickBot="1" x14ac:dyDescent="0.3">
      <c r="A116" s="10" t="s">
        <v>143</v>
      </c>
      <c r="B116" s="26" t="s">
        <v>144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86B4-07FE-4642-9904-F96C23F317D7}">
  <dimension ref="A1:I21"/>
  <sheetViews>
    <sheetView tabSelected="1" workbookViewId="0">
      <pane ySplit="3" topLeftCell="A4" activePane="bottomLeft" state="frozen"/>
      <selection pane="bottomLeft" activeCell="F21" sqref="F21"/>
    </sheetView>
  </sheetViews>
  <sheetFormatPr defaultRowHeight="15" x14ac:dyDescent="0.25"/>
  <cols>
    <col min="1" max="1" width="16.7109375" bestFit="1" customWidth="1"/>
    <col min="2" max="2" width="16.7109375" customWidth="1"/>
    <col min="3" max="3" width="16.7109375" bestFit="1" customWidth="1"/>
    <col min="4" max="4" width="13.7109375" bestFit="1" customWidth="1"/>
    <col min="5" max="5" width="15" bestFit="1" customWidth="1"/>
    <col min="6" max="6" width="19.7109375" bestFit="1" customWidth="1"/>
    <col min="7" max="7" width="19.7109375" customWidth="1"/>
    <col min="8" max="8" width="50" customWidth="1"/>
    <col min="9" max="9" width="18.42578125" bestFit="1" customWidth="1"/>
  </cols>
  <sheetData>
    <row r="1" spans="1:9" ht="27.75" customHeight="1" x14ac:dyDescent="0.25">
      <c r="A1" s="19" t="s">
        <v>6</v>
      </c>
      <c r="B1" s="32"/>
      <c r="C1" s="32"/>
      <c r="D1" s="32"/>
      <c r="E1" s="32"/>
      <c r="F1" s="32"/>
      <c r="G1" s="32"/>
      <c r="H1" s="32"/>
      <c r="I1" s="20"/>
    </row>
    <row r="2" spans="1:9" ht="3" customHeight="1" x14ac:dyDescent="0.3">
      <c r="A2" s="6"/>
      <c r="B2" s="33"/>
      <c r="C2" s="1"/>
      <c r="D2" s="1"/>
      <c r="E2" s="1"/>
      <c r="F2" s="1"/>
      <c r="G2" s="28"/>
      <c r="H2" s="28"/>
      <c r="I2" s="7"/>
    </row>
    <row r="3" spans="1:9" ht="37.5" x14ac:dyDescent="0.25">
      <c r="A3" s="8" t="s">
        <v>7</v>
      </c>
      <c r="B3" s="34" t="s">
        <v>177</v>
      </c>
      <c r="C3" s="2" t="s">
        <v>2</v>
      </c>
      <c r="D3" s="2" t="s">
        <v>3</v>
      </c>
      <c r="E3" s="2" t="s">
        <v>4</v>
      </c>
      <c r="F3" s="2" t="s">
        <v>5</v>
      </c>
      <c r="G3" s="29" t="s">
        <v>6</v>
      </c>
      <c r="H3" s="29" t="s">
        <v>151</v>
      </c>
      <c r="I3" s="9" t="s">
        <v>152</v>
      </c>
    </row>
    <row r="4" spans="1:9" ht="63.75" customHeight="1" x14ac:dyDescent="0.25">
      <c r="A4" s="13" t="s">
        <v>148</v>
      </c>
      <c r="B4" s="11" t="str" cm="1">
        <f t="array" ref="B4">_xlfn.XLOOKUP(Tabela3[[#This Row],[Categoria]],Tabela36[[#All],[Categoria]],Tabela36[[#All],[ID]])</f>
        <v>P001</v>
      </c>
      <c r="C4" s="12">
        <v>86</v>
      </c>
      <c r="D4" s="12" cm="1">
        <f t="array" ref="D4">_xlfn.IFS(_xlfn.XLOOKUP(Tabela3[[#This Row],[ID]],Tabela36[[#All],[ID]],Tabela36[[#All],[Frequência]])=1,14.2,_xlfn.XLOOKUP(Tabela3[[#This Row],[ID]],Tabela36[[#All],[ID]],Tabela36[[#All],[Frequência]])=2,28.4,_xlfn.XLOOKUP(Tabela3[[#This Row],[ID]],Tabela36[[#All],[ID]],Tabela36[[#All],[Frequência]])=3,42.6,_xlfn.XLOOKUP(Tabela3[[#This Row],[ID]],Tabela36[[#All],[ID]],Tabela36[[#All],[Frequência]])=4,56.8,_xlfn.XLOOKUP(Tabela3[[#This Row],[ID]],Tabela36[[#All],[ID]],Tabela36[[#All],[Frequência]])=5,71,_xlfn.XLOOKUP(Tabela3[[#This Row],[ID]],Tabela36[[#All],[ID]],Tabela36[[#All],[Frequência]])=6,85.2,TRUE,100)</f>
        <v>14.2</v>
      </c>
      <c r="E4" s="12">
        <v>88</v>
      </c>
      <c r="F4" s="12" cm="1">
        <f t="array" ref="F4">_xlfn.IFS(_xlfn.XLOOKUP(Tabela3[[#This Row],[ID]],Tabela367[ID],Tabela367[Classificação])="Legítima",100,_xlfn.XLOOKUP(Tabela3[[#This Row],[ID]],Tabela367[ID],Tabela367[Classificação])="Pouca Informação",80,_xlfn.XLOOKUP(Tabela3[[#This Row],[ID]],Tabela367[ID],Tabela367[Classificação])="Duplicada",60,_xlfn.XLOOKUP(Tabela3[[#This Row],[ID]],Tabela367[ID],Tabela367[Classificação])="Plágio",40,_xlfn.XLOOKUP(Tabela3[[#This Row],[ID]],Tabela367[ID],Tabela367[Classificação])="Suspeita",20,_xlfn.XLOOKUP(Tabela3[[#This Row],[ID]],Tabela367[ID],Tabela367[Classificação])="Falsa",0)</f>
        <v>60</v>
      </c>
      <c r="G4" s="24">
        <f>(Tabela3[[#This Row],[Impacto]]*0.4)+(Tabela3[[#This Row],[Confiabilidade]]*0.3)+(Tabela3[[#This Row],[Dificuldade]]*0.2)+(Tabela3[[#This Row],[Frequência]]*0.1)</f>
        <v>71.42</v>
      </c>
      <c r="H4" s="22" t="s">
        <v>170</v>
      </c>
      <c r="I4" s="14" t="s">
        <v>154</v>
      </c>
    </row>
    <row r="5" spans="1:9" ht="63.75" customHeight="1" x14ac:dyDescent="0.25">
      <c r="A5" s="13" t="s">
        <v>17</v>
      </c>
      <c r="B5" s="18" t="str" cm="1">
        <f t="array" ref="B5">_xlfn.XLOOKUP(Tabela3[[#This Row],[Categoria]],Tabela36[[#All],[Categoria]],Tabela36[[#All],[ID]])</f>
        <v>P002</v>
      </c>
      <c r="C5" s="12">
        <v>93</v>
      </c>
      <c r="D5" s="12" cm="1">
        <f t="array" ref="D5">_xlfn.IFS(_xlfn.XLOOKUP(Tabela3[[#This Row],[ID]],Tabela36[[#All],[ID]],Tabela36[[#All],[Frequência]])=1,14.2,_xlfn.XLOOKUP(Tabela3[[#This Row],[ID]],Tabela36[[#All],[ID]],Tabela36[[#All],[Frequência]])=2,28.4,_xlfn.XLOOKUP(Tabela3[[#This Row],[ID]],Tabela36[[#All],[ID]],Tabela36[[#All],[Frequência]])=3,42.6,_xlfn.XLOOKUP(Tabela3[[#This Row],[ID]],Tabela36[[#All],[ID]],Tabela36[[#All],[Frequência]])=4,56.8,_xlfn.XLOOKUP(Tabela3[[#This Row],[ID]],Tabela36[[#All],[ID]],Tabela36[[#All],[Frequência]])=5,71,_xlfn.XLOOKUP(Tabela3[[#This Row],[ID]],Tabela36[[#All],[ID]],Tabela36[[#All],[Frequência]])=6,85.2,TRUE,100)</f>
        <v>28.4</v>
      </c>
      <c r="E5" s="12">
        <v>48</v>
      </c>
      <c r="F5" s="12" cm="1">
        <f t="array" ref="F5">_xlfn.IFS(_xlfn.XLOOKUP(Tabela3[[#This Row],[ID]],Tabela367[ID],Tabela367[Classificação])="Legítima",100,_xlfn.XLOOKUP(Tabela3[[#This Row],[ID]],Tabela367[ID],Tabela367[Classificação])="Pouca Informação",80,_xlfn.XLOOKUP(Tabela3[[#This Row],[ID]],Tabela367[ID],Tabela367[Classificação])="Duplicada",60,_xlfn.XLOOKUP(Tabela3[[#This Row],[ID]],Tabela367[ID],Tabela367[Classificação])="Plágio",40,_xlfn.XLOOKUP(Tabela3[[#This Row],[ID]],Tabela367[ID],Tabela367[Classificação])="Suspeita",20,_xlfn.XLOOKUP(Tabela3[[#This Row],[ID]],Tabela367[ID],Tabela367[Classificação])="Falsa",0)</f>
        <v>100</v>
      </c>
      <c r="G5" s="24">
        <f>(Tabela3[[#This Row],[Impacto]]*0.4)+(Tabela3[[#This Row],[Confiabilidade]]*0.3)+(Tabela3[[#This Row],[Dificuldade]]*0.2)+(Tabela3[[#This Row],[Frequência]]*0.1)</f>
        <v>79.640000000000015</v>
      </c>
      <c r="H5" s="22" t="s">
        <v>166</v>
      </c>
      <c r="I5" s="14" t="s">
        <v>165</v>
      </c>
    </row>
    <row r="6" spans="1:9" ht="63.75" customHeight="1" x14ac:dyDescent="0.25">
      <c r="A6" s="13" t="s">
        <v>16</v>
      </c>
      <c r="B6" s="18" t="str" cm="1">
        <f t="array" ref="B6">_xlfn.XLOOKUP(Tabela3[[#This Row],[Categoria]],Tabela36[[#All],[Categoria]],Tabela36[[#All],[ID]])</f>
        <v>P003</v>
      </c>
      <c r="C6" s="12">
        <v>92</v>
      </c>
      <c r="D6" s="12" cm="1">
        <f t="array" ref="D6">_xlfn.IFS(_xlfn.XLOOKUP(Tabela3[[#This Row],[ID]],Tabela36[[#All],[ID]],Tabela36[[#All],[Frequência]])=1,14.2,_xlfn.XLOOKUP(Tabela3[[#This Row],[ID]],Tabela36[[#All],[ID]],Tabela36[[#All],[Frequência]])=2,28.4,_xlfn.XLOOKUP(Tabela3[[#This Row],[ID]],Tabela36[[#All],[ID]],Tabela36[[#All],[Frequência]])=3,42.6,_xlfn.XLOOKUP(Tabela3[[#This Row],[ID]],Tabela36[[#All],[ID]],Tabela36[[#All],[Frequência]])=4,56.8,_xlfn.XLOOKUP(Tabela3[[#This Row],[ID]],Tabela36[[#All],[ID]],Tabela36[[#All],[Frequência]])=5,71,_xlfn.XLOOKUP(Tabela3[[#This Row],[ID]],Tabela36[[#All],[ID]],Tabela36[[#All],[Frequência]])=6,85.2,TRUE,100)</f>
        <v>42.6</v>
      </c>
      <c r="E6" s="12">
        <v>30</v>
      </c>
      <c r="F6" s="12" cm="1">
        <f t="array" ref="F6">_xlfn.IFS(_xlfn.XLOOKUP(Tabela3[[#This Row],[ID]],Tabela367[ID],Tabela367[Classificação])="Legítima",100,_xlfn.XLOOKUP(Tabela3[[#This Row],[ID]],Tabela367[ID],Tabela367[Classificação])="Pouca Informação",80,_xlfn.XLOOKUP(Tabela3[[#This Row],[ID]],Tabela367[ID],Tabela367[Classificação])="Duplicada",60,_xlfn.XLOOKUP(Tabela3[[#This Row],[ID]],Tabela367[ID],Tabela367[Classificação])="Plágio",40,_xlfn.XLOOKUP(Tabela3[[#This Row],[ID]],Tabela367[ID],Tabela367[Classificação])="Suspeita",20,_xlfn.XLOOKUP(Tabela3[[#This Row],[ID]],Tabela367[ID],Tabela367[Classificação])="Falsa",0)</f>
        <v>40</v>
      </c>
      <c r="G6" s="24">
        <f>(Tabela3[[#This Row],[Impacto]]*0.4)+(Tabela3[[#This Row],[Confiabilidade]]*0.3)+(Tabela3[[#This Row],[Dificuldade]]*0.2)+(Tabela3[[#This Row],[Frequência]]*0.1)</f>
        <v>59.06</v>
      </c>
      <c r="H6" s="22" t="s">
        <v>162</v>
      </c>
      <c r="I6" s="14" t="s">
        <v>158</v>
      </c>
    </row>
    <row r="7" spans="1:9" ht="63.75" customHeight="1" x14ac:dyDescent="0.25">
      <c r="A7" s="13" t="s">
        <v>18</v>
      </c>
      <c r="B7" s="18" t="str" cm="1">
        <f t="array" ref="B7">_xlfn.XLOOKUP(Tabela3[[#This Row],[Categoria]],Tabela36[[#All],[Categoria]],Tabela36[[#All],[ID]])</f>
        <v>P004</v>
      </c>
      <c r="C7" s="12">
        <v>76</v>
      </c>
      <c r="D7" s="12" cm="1">
        <f t="array" ref="D7">_xlfn.IFS(_xlfn.XLOOKUP(Tabela3[[#This Row],[ID]],Tabela36[[#All],[ID]],Tabela36[[#All],[Frequência]])=1,14.2,_xlfn.XLOOKUP(Tabela3[[#This Row],[ID]],Tabela36[[#All],[ID]],Tabela36[[#All],[Frequência]])=2,28.4,_xlfn.XLOOKUP(Tabela3[[#This Row],[ID]],Tabela36[[#All],[ID]],Tabela36[[#All],[Frequência]])=3,42.6,_xlfn.XLOOKUP(Tabela3[[#This Row],[ID]],Tabela36[[#All],[ID]],Tabela36[[#All],[Frequência]])=4,56.8,_xlfn.XLOOKUP(Tabela3[[#This Row],[ID]],Tabela36[[#All],[ID]],Tabela36[[#All],[Frequência]])=5,71,_xlfn.XLOOKUP(Tabela3[[#This Row],[ID]],Tabela36[[#All],[ID]],Tabela36[[#All],[Frequência]])=6,85.2,TRUE,100)</f>
        <v>56.8</v>
      </c>
      <c r="E7" s="12">
        <v>82</v>
      </c>
      <c r="F7" s="12" cm="1">
        <f t="array" ref="F7">_xlfn.IFS(_xlfn.XLOOKUP(Tabela3[[#This Row],[ID]],Tabela367[ID],Tabela367[Classificação])="Legítima",100,_xlfn.XLOOKUP(Tabela3[[#This Row],[ID]],Tabela367[ID],Tabela367[Classificação])="Pouca Informação",80,_xlfn.XLOOKUP(Tabela3[[#This Row],[ID]],Tabela367[ID],Tabela367[Classificação])="Duplicada",60,_xlfn.XLOOKUP(Tabela3[[#This Row],[ID]],Tabela367[ID],Tabela367[Classificação])="Plágio",40,_xlfn.XLOOKUP(Tabela3[[#This Row],[ID]],Tabela367[ID],Tabela367[Classificação])="Suspeita",20,_xlfn.XLOOKUP(Tabela3[[#This Row],[ID]],Tabela367[ID],Tabela367[Classificação])="Falsa",0)</f>
        <v>100</v>
      </c>
      <c r="G7" s="24">
        <f>(Tabela3[[#This Row],[Impacto]]*0.4)+(Tabela3[[#This Row],[Confiabilidade]]*0.3)+(Tabela3[[#This Row],[Dificuldade]]*0.2)+(Tabela3[[#This Row],[Frequência]]*0.1)</f>
        <v>82.480000000000018</v>
      </c>
      <c r="H7" s="22" t="s">
        <v>169</v>
      </c>
      <c r="I7" s="14" t="s">
        <v>154</v>
      </c>
    </row>
    <row r="8" spans="1:9" ht="63.75" customHeight="1" x14ac:dyDescent="0.25">
      <c r="A8" s="13" t="s">
        <v>146</v>
      </c>
      <c r="B8" s="18" t="str" cm="1">
        <f t="array" ref="B8">_xlfn.XLOOKUP(Tabela3[[#This Row],[Categoria]],Tabela36[[#All],[Categoria]],Tabela36[[#All],[ID]])</f>
        <v>P005</v>
      </c>
      <c r="C8" s="12">
        <v>88</v>
      </c>
      <c r="D8" s="12" cm="1">
        <f t="array" ref="D8">_xlfn.IFS(_xlfn.XLOOKUP(Tabela3[[#This Row],[ID]],Tabela36[[#All],[ID]],Tabela36[[#All],[Frequência]])=1,14.2,_xlfn.XLOOKUP(Tabela3[[#This Row],[ID]],Tabela36[[#All],[ID]],Tabela36[[#All],[Frequência]])=2,28.4,_xlfn.XLOOKUP(Tabela3[[#This Row],[ID]],Tabela36[[#All],[ID]],Tabela36[[#All],[Frequência]])=3,42.6,_xlfn.XLOOKUP(Tabela3[[#This Row],[ID]],Tabela36[[#All],[ID]],Tabela36[[#All],[Frequência]])=4,56.8,_xlfn.XLOOKUP(Tabela3[[#This Row],[ID]],Tabela36[[#All],[ID]],Tabela36[[#All],[Frequência]])=5,71,_xlfn.XLOOKUP(Tabela3[[#This Row],[ID]],Tabela36[[#All],[ID]],Tabela36[[#All],[Frequência]])=6,85.2,TRUE,100)</f>
        <v>71</v>
      </c>
      <c r="E8" s="12">
        <v>68</v>
      </c>
      <c r="F8" s="12" cm="1">
        <f t="array" ref="F8">_xlfn.IFS(_xlfn.XLOOKUP(Tabela3[[#This Row],[ID]],Tabela367[ID],Tabela367[Classificação])="Legítima",100,_xlfn.XLOOKUP(Tabela3[[#This Row],[ID]],Tabela367[ID],Tabela367[Classificação])="Pouca Informação",80,_xlfn.XLOOKUP(Tabela3[[#This Row],[ID]],Tabela367[ID],Tabela367[Classificação])="Duplicada",60,_xlfn.XLOOKUP(Tabela3[[#This Row],[ID]],Tabela367[ID],Tabela367[Classificação])="Plágio",40,_xlfn.XLOOKUP(Tabela3[[#This Row],[ID]],Tabela367[ID],Tabela367[Classificação])="Suspeita",20,_xlfn.XLOOKUP(Tabela3[[#This Row],[ID]],Tabela367[ID],Tabela367[Classificação])="Falsa",0)</f>
        <v>80</v>
      </c>
      <c r="G8" s="24">
        <f>(Tabela3[[#This Row],[Impacto]]*0.4)+(Tabela3[[#This Row],[Confiabilidade]]*0.3)+(Tabela3[[#This Row],[Dificuldade]]*0.2)+(Tabela3[[#This Row],[Frequência]]*0.1)</f>
        <v>79.900000000000006</v>
      </c>
      <c r="H8" s="22" t="s">
        <v>163</v>
      </c>
      <c r="I8" s="14" t="s">
        <v>154</v>
      </c>
    </row>
    <row r="9" spans="1:9" ht="63.75" customHeight="1" x14ac:dyDescent="0.25">
      <c r="A9" s="13" t="s">
        <v>9</v>
      </c>
      <c r="B9" s="23" t="str" cm="1">
        <f t="array" ref="B9">_xlfn.XLOOKUP(Tabela3[[#This Row],[Categoria]],Tabela36[[#All],[Categoria]],Tabela36[[#All],[ID]])</f>
        <v>P006</v>
      </c>
      <c r="C9" s="12">
        <v>65</v>
      </c>
      <c r="D9" s="12" cm="1">
        <f t="array" ref="D9">_xlfn.IFS(_xlfn.XLOOKUP(Tabela3[[#This Row],[ID]],Tabela36[[#All],[ID]],Tabela36[[#All],[Frequência]])=1,14.2,_xlfn.XLOOKUP(Tabela3[[#This Row],[ID]],Tabela36[[#All],[ID]],Tabela36[[#All],[Frequência]])=2,28.4,_xlfn.XLOOKUP(Tabela3[[#This Row],[ID]],Tabela36[[#All],[ID]],Tabela36[[#All],[Frequência]])=3,42.6,_xlfn.XLOOKUP(Tabela3[[#This Row],[ID]],Tabela36[[#All],[ID]],Tabela36[[#All],[Frequência]])=4,56.8,_xlfn.XLOOKUP(Tabela3[[#This Row],[ID]],Tabela36[[#All],[ID]],Tabela36[[#All],[Frequência]])=5,71,_xlfn.XLOOKUP(Tabela3[[#This Row],[ID]],Tabela36[[#All],[ID]],Tabela36[[#All],[Frequência]])=6,85.2,TRUE,100)</f>
        <v>85.2</v>
      </c>
      <c r="E9" s="12">
        <v>85</v>
      </c>
      <c r="F9" s="12" cm="1">
        <f t="array" ref="F9">_xlfn.IFS(_xlfn.XLOOKUP(Tabela3[[#This Row],[ID]],Tabela367[ID],Tabela367[Classificação])="Legítima",100,_xlfn.XLOOKUP(Tabela3[[#This Row],[ID]],Tabela367[ID],Tabela367[Classificação])="Pouca Informação",80,_xlfn.XLOOKUP(Tabela3[[#This Row],[ID]],Tabela367[ID],Tabela367[Classificação])="Duplicada",60,_xlfn.XLOOKUP(Tabela3[[#This Row],[ID]],Tabela367[ID],Tabela367[Classificação])="Plágio",40,_xlfn.XLOOKUP(Tabela3[[#This Row],[ID]],Tabela367[ID],Tabela367[Classificação])="Suspeita",20,_xlfn.XLOOKUP(Tabela3[[#This Row],[ID]],Tabela367[ID],Tabela367[Classificação])="Falsa",0)</f>
        <v>100</v>
      </c>
      <c r="G9" s="24">
        <f>(Tabela3[[#This Row],[Impacto]]*0.4)+(Tabela3[[#This Row],[Confiabilidade]]*0.3)+(Tabela3[[#This Row],[Dificuldade]]*0.2)+(Tabela3[[#This Row],[Frequência]]*0.1)</f>
        <v>81.52</v>
      </c>
      <c r="H9" s="22" t="s">
        <v>153</v>
      </c>
      <c r="I9" s="14" t="s">
        <v>154</v>
      </c>
    </row>
    <row r="10" spans="1:9" ht="63.75" customHeight="1" x14ac:dyDescent="0.25">
      <c r="A10" s="13" t="s">
        <v>86</v>
      </c>
      <c r="B10" s="18" t="str" cm="1">
        <f t="array" ref="B10">_xlfn.XLOOKUP(Tabela3[[#This Row],[Categoria]],Tabela36[[#All],[Categoria]],Tabela36[[#All],[ID]])</f>
        <v>P007</v>
      </c>
      <c r="C10" s="12">
        <v>94</v>
      </c>
      <c r="D10" s="12" cm="1">
        <f t="array" ref="D10">_xlfn.IFS(_xlfn.XLOOKUP(Tabela3[[#This Row],[ID]],Tabela36[[#All],[ID]],Tabela36[[#All],[Frequência]])=1,14.2,_xlfn.XLOOKUP(Tabela3[[#This Row],[ID]],Tabela36[[#All],[ID]],Tabela36[[#All],[Frequência]])=2,28.4,_xlfn.XLOOKUP(Tabela3[[#This Row],[ID]],Tabela36[[#All],[ID]],Tabela36[[#All],[Frequência]])=3,42.6,_xlfn.XLOOKUP(Tabela3[[#This Row],[ID]],Tabela36[[#All],[ID]],Tabela36[[#All],[Frequência]])=4,56.8,_xlfn.XLOOKUP(Tabela3[[#This Row],[ID]],Tabela36[[#All],[ID]],Tabela36[[#All],[Frequência]])=5,71,_xlfn.XLOOKUP(Tabela3[[#This Row],[ID]],Tabela36[[#All],[ID]],Tabela36[[#All],[Frequência]])=6,85.2,TRUE,100)</f>
        <v>100</v>
      </c>
      <c r="E10" s="12">
        <v>45</v>
      </c>
      <c r="F10" s="12" cm="1">
        <f t="array" ref="F10">_xlfn.IFS(_xlfn.XLOOKUP(Tabela3[[#This Row],[ID]],Tabela367[ID],Tabela367[Classificação])="Legítima",100,_xlfn.XLOOKUP(Tabela3[[#This Row],[ID]],Tabela367[ID],Tabela367[Classificação])="Pouca Informação",80,_xlfn.XLOOKUP(Tabela3[[#This Row],[ID]],Tabela367[ID],Tabela367[Classificação])="Duplicada",60,_xlfn.XLOOKUP(Tabela3[[#This Row],[ID]],Tabela367[ID],Tabela367[Classificação])="Plágio",40,_xlfn.XLOOKUP(Tabela3[[#This Row],[ID]],Tabela367[ID],Tabela367[Classificação])="Suspeita",20,_xlfn.XLOOKUP(Tabela3[[#This Row],[ID]],Tabela367[ID],Tabela367[Classificação])="Falsa",0)</f>
        <v>60</v>
      </c>
      <c r="G10" s="24">
        <f>(Tabela3[[#This Row],[Impacto]]*0.4)+(Tabela3[[#This Row],[Confiabilidade]]*0.3)+(Tabela3[[#This Row],[Dificuldade]]*0.2)+(Tabela3[[#This Row],[Frequência]]*0.1)</f>
        <v>74.599999999999994</v>
      </c>
      <c r="H10" s="22" t="s">
        <v>164</v>
      </c>
      <c r="I10" s="14" t="s">
        <v>165</v>
      </c>
    </row>
    <row r="11" spans="1:9" ht="63.75" customHeight="1" x14ac:dyDescent="0.25">
      <c r="A11" s="13" t="s">
        <v>14</v>
      </c>
      <c r="B11" s="18" t="str" cm="1">
        <f t="array" ref="B11">_xlfn.XLOOKUP(Tabela3[[#This Row],[Categoria]],Tabela36[[#All],[Categoria]],Tabela36[[#All],[ID]])</f>
        <v>P008</v>
      </c>
      <c r="C11" s="12">
        <v>70</v>
      </c>
      <c r="D11" s="12" cm="1">
        <f t="array" ref="D11">_xlfn.IFS(_xlfn.XLOOKUP(Tabela3[[#This Row],[ID]],Tabela36[[#All],[ID]],Tabela36[[#All],[Frequência]])=1,14.2,_xlfn.XLOOKUP(Tabela3[[#This Row],[ID]],Tabela36[[#All],[ID]],Tabela36[[#All],[Frequência]])=2,28.4,_xlfn.XLOOKUP(Tabela3[[#This Row],[ID]],Tabela36[[#All],[ID]],Tabela36[[#All],[Frequência]])=3,42.6,_xlfn.XLOOKUP(Tabela3[[#This Row],[ID]],Tabela36[[#All],[ID]],Tabela36[[#All],[Frequência]])=4,56.8,_xlfn.XLOOKUP(Tabela3[[#This Row],[ID]],Tabela36[[#All],[ID]],Tabela36[[#All],[Frequência]])=5,71,_xlfn.XLOOKUP(Tabela3[[#This Row],[ID]],Tabela36[[#All],[ID]],Tabela36[[#All],[Frequência]])=6,85.2,TRUE,100)</f>
        <v>14.2</v>
      </c>
      <c r="E11" s="12">
        <v>78</v>
      </c>
      <c r="F11" s="12" cm="1">
        <f t="array" ref="F11">_xlfn.IFS(_xlfn.XLOOKUP(Tabela3[[#This Row],[ID]],Tabela367[ID],Tabela367[Classificação])="Legítima",100,_xlfn.XLOOKUP(Tabela3[[#This Row],[ID]],Tabela367[ID],Tabela367[Classificação])="Pouca Informação",80,_xlfn.XLOOKUP(Tabela3[[#This Row],[ID]],Tabela367[ID],Tabela367[Classificação])="Duplicada",60,_xlfn.XLOOKUP(Tabela3[[#This Row],[ID]],Tabela367[ID],Tabela367[Classificação])="Plágio",40,_xlfn.XLOOKUP(Tabela3[[#This Row],[ID]],Tabela367[ID],Tabela367[Classificação])="Suspeita",20,_xlfn.XLOOKUP(Tabela3[[#This Row],[ID]],Tabela367[ID],Tabela367[Classificação])="Falsa",0)</f>
        <v>100</v>
      </c>
      <c r="G11" s="24">
        <f>(Tabela3[[#This Row],[Impacto]]*0.4)+(Tabela3[[#This Row],[Confiabilidade]]*0.3)+(Tabela3[[#This Row],[Dificuldade]]*0.2)+(Tabela3[[#This Row],[Frequência]]*0.1)</f>
        <v>75.02</v>
      </c>
      <c r="H11" s="22" t="s">
        <v>159</v>
      </c>
      <c r="I11" s="14" t="s">
        <v>158</v>
      </c>
    </row>
    <row r="12" spans="1:9" ht="63.75" customHeight="1" x14ac:dyDescent="0.25">
      <c r="A12" s="13" t="s">
        <v>15</v>
      </c>
      <c r="B12" s="18" t="str" cm="1">
        <f t="array" ref="B12">_xlfn.XLOOKUP(Tabela3[[#This Row],[Categoria]],Tabela36[[#All],[Categoria]],Tabela36[[#All],[ID]])</f>
        <v>P009</v>
      </c>
      <c r="C12" s="12">
        <v>72</v>
      </c>
      <c r="D12" s="12" cm="1">
        <f t="array" ref="D12">_xlfn.IFS(_xlfn.XLOOKUP(Tabela3[[#This Row],[ID]],Tabela36[[#All],[ID]],Tabela36[[#All],[Frequência]])=1,14.2,_xlfn.XLOOKUP(Tabela3[[#This Row],[ID]],Tabela36[[#All],[ID]],Tabela36[[#All],[Frequência]])=2,28.4,_xlfn.XLOOKUP(Tabela3[[#This Row],[ID]],Tabela36[[#All],[ID]],Tabela36[[#All],[Frequência]])=3,42.6,_xlfn.XLOOKUP(Tabela3[[#This Row],[ID]],Tabela36[[#All],[ID]],Tabela36[[#All],[Frequência]])=4,56.8,_xlfn.XLOOKUP(Tabela3[[#This Row],[ID]],Tabela36[[#All],[ID]],Tabela36[[#All],[Frequência]])=5,71,_xlfn.XLOOKUP(Tabela3[[#This Row],[ID]],Tabela36[[#All],[ID]],Tabela36[[#All],[Frequência]])=6,85.2,TRUE,100)</f>
        <v>28.4</v>
      </c>
      <c r="E12" s="12">
        <v>90</v>
      </c>
      <c r="F12" s="12" cm="1">
        <f t="array" ref="F12">_xlfn.IFS(_xlfn.XLOOKUP(Tabela3[[#This Row],[ID]],Tabela367[ID],Tabela367[Classificação])="Legítima",100,_xlfn.XLOOKUP(Tabela3[[#This Row],[ID]],Tabela367[ID],Tabela367[Classificação])="Pouca Informação",80,_xlfn.XLOOKUP(Tabela3[[#This Row],[ID]],Tabela367[ID],Tabela367[Classificação])="Duplicada",60,_xlfn.XLOOKUP(Tabela3[[#This Row],[ID]],Tabela367[ID],Tabela367[Classificação])="Plágio",40,_xlfn.XLOOKUP(Tabela3[[#This Row],[ID]],Tabela367[ID],Tabela367[Classificação])="Suspeita",20,_xlfn.XLOOKUP(Tabela3[[#This Row],[ID]],Tabela367[ID],Tabela367[Classificação])="Falsa",0)</f>
        <v>20</v>
      </c>
      <c r="G12" s="24">
        <f>(Tabela3[[#This Row],[Impacto]]*0.4)+(Tabela3[[#This Row],[Confiabilidade]]*0.3)+(Tabela3[[#This Row],[Dificuldade]]*0.2)+(Tabela3[[#This Row],[Frequência]]*0.1)</f>
        <v>55.64</v>
      </c>
      <c r="H12" s="22" t="s">
        <v>160</v>
      </c>
      <c r="I12" s="14" t="s">
        <v>154</v>
      </c>
    </row>
    <row r="13" spans="1:9" ht="63.75" customHeight="1" x14ac:dyDescent="0.25">
      <c r="A13" s="13" t="s">
        <v>145</v>
      </c>
      <c r="B13" s="18" t="str" cm="1">
        <f t="array" ref="B13">_xlfn.XLOOKUP(Tabela3[[#This Row],[Categoria]],Tabela36[[#All],[Categoria]],Tabela36[[#All],[ID]])</f>
        <v>P010</v>
      </c>
      <c r="C13" s="12">
        <v>82</v>
      </c>
      <c r="D13" s="12" cm="1">
        <f t="array" ref="D13">_xlfn.IFS(_xlfn.XLOOKUP(Tabela3[[#This Row],[ID]],Tabela36[[#All],[ID]],Tabela36[[#All],[Frequência]])=1,14.2,_xlfn.XLOOKUP(Tabela3[[#This Row],[ID]],Tabela36[[#All],[ID]],Tabela36[[#All],[Frequência]])=2,28.4,_xlfn.XLOOKUP(Tabela3[[#This Row],[ID]],Tabela36[[#All],[ID]],Tabela36[[#All],[Frequência]])=3,42.6,_xlfn.XLOOKUP(Tabela3[[#This Row],[ID]],Tabela36[[#All],[ID]],Tabela36[[#All],[Frequência]])=4,56.8,_xlfn.XLOOKUP(Tabela3[[#This Row],[ID]],Tabela36[[#All],[ID]],Tabela36[[#All],[Frequência]])=5,71,_xlfn.XLOOKUP(Tabela3[[#This Row],[ID]],Tabela36[[#All],[ID]],Tabela36[[#All],[Frequência]])=6,85.2,TRUE,100)</f>
        <v>42.6</v>
      </c>
      <c r="E13" s="12">
        <v>62</v>
      </c>
      <c r="F13" s="12" cm="1">
        <f t="array" ref="F13">_xlfn.IFS(_xlfn.XLOOKUP(Tabela3[[#This Row],[ID]],Tabela367[ID],Tabela367[Classificação])="Legítima",100,_xlfn.XLOOKUP(Tabela3[[#This Row],[ID]],Tabela367[ID],Tabela367[Classificação])="Pouca Informação",80,_xlfn.XLOOKUP(Tabela3[[#This Row],[ID]],Tabela367[ID],Tabela367[Classificação])="Duplicada",60,_xlfn.XLOOKUP(Tabela3[[#This Row],[ID]],Tabela367[ID],Tabela367[Classificação])="Plágio",40,_xlfn.XLOOKUP(Tabela3[[#This Row],[ID]],Tabela367[ID],Tabela367[Classificação])="Suspeita",20,_xlfn.XLOOKUP(Tabela3[[#This Row],[ID]],Tabela367[ID],Tabela367[Classificação])="Falsa",0)</f>
        <v>100</v>
      </c>
      <c r="G13" s="24">
        <f>(Tabela3[[#This Row],[Impacto]]*0.4)+(Tabela3[[#This Row],[Confiabilidade]]*0.3)+(Tabela3[[#This Row],[Dificuldade]]*0.2)+(Tabela3[[#This Row],[Frequência]]*0.1)</f>
        <v>79.460000000000008</v>
      </c>
      <c r="H13" s="22" t="s">
        <v>161</v>
      </c>
      <c r="I13" s="14" t="s">
        <v>158</v>
      </c>
    </row>
    <row r="14" spans="1:9" ht="63.75" customHeight="1" x14ac:dyDescent="0.25">
      <c r="A14" s="13" t="s">
        <v>147</v>
      </c>
      <c r="B14" s="18" t="str" cm="1">
        <f t="array" ref="B14">_xlfn.XLOOKUP(Tabela3[[#This Row],[Categoria]],Tabela36[[#All],[Categoria]],Tabela36[[#All],[ID]])</f>
        <v>P011</v>
      </c>
      <c r="C14" s="12">
        <v>84</v>
      </c>
      <c r="D14" s="12" cm="1">
        <f t="array" ref="D14">_xlfn.IFS(_xlfn.XLOOKUP(Tabela3[[#This Row],[ID]],Tabela36[[#All],[ID]],Tabela36[[#All],[Frequência]])=1,14.2,_xlfn.XLOOKUP(Tabela3[[#This Row],[ID]],Tabela36[[#All],[ID]],Tabela36[[#All],[Frequência]])=2,28.4,_xlfn.XLOOKUP(Tabela3[[#This Row],[ID]],Tabela36[[#All],[ID]],Tabela36[[#All],[Frequência]])=3,42.6,_xlfn.XLOOKUP(Tabela3[[#This Row],[ID]],Tabela36[[#All],[ID]],Tabela36[[#All],[Frequência]])=4,56.8,_xlfn.XLOOKUP(Tabela3[[#This Row],[ID]],Tabela36[[#All],[ID]],Tabela36[[#All],[Frequência]])=5,71,_xlfn.XLOOKUP(Tabela3[[#This Row],[ID]],Tabela36[[#All],[ID]],Tabela36[[#All],[Frequência]])=6,85.2,TRUE,100)</f>
        <v>56.8</v>
      </c>
      <c r="E14" s="12">
        <v>42</v>
      </c>
      <c r="F14" s="12" cm="1">
        <f t="array" ref="F14">_xlfn.IFS(_xlfn.XLOOKUP(Tabela3[[#This Row],[ID]],Tabela367[ID],Tabela367[Classificação])="Legítima",100,_xlfn.XLOOKUP(Tabela3[[#This Row],[ID]],Tabela367[ID],Tabela367[Classificação])="Pouca Informação",80,_xlfn.XLOOKUP(Tabela3[[#This Row],[ID]],Tabela367[ID],Tabela367[Classificação])="Duplicada",60,_xlfn.XLOOKUP(Tabela3[[#This Row],[ID]],Tabela367[ID],Tabela367[Classificação])="Plágio",40,_xlfn.XLOOKUP(Tabela3[[#This Row],[ID]],Tabela367[ID],Tabela367[Classificação])="Suspeita",20,_xlfn.XLOOKUP(Tabela3[[#This Row],[ID]],Tabela367[ID],Tabela367[Classificação])="Falsa",0)</f>
        <v>100</v>
      </c>
      <c r="G14" s="24">
        <f>(Tabela3[[#This Row],[Impacto]]*0.4)+(Tabela3[[#This Row],[Confiabilidade]]*0.3)+(Tabela3[[#This Row],[Dificuldade]]*0.2)+(Tabela3[[#This Row],[Frequência]]*0.1)</f>
        <v>77.680000000000007</v>
      </c>
      <c r="H14" s="22" t="s">
        <v>168</v>
      </c>
      <c r="I14" s="14" t="s">
        <v>165</v>
      </c>
    </row>
    <row r="15" spans="1:9" ht="63.75" customHeight="1" x14ac:dyDescent="0.25">
      <c r="A15" s="13" t="s">
        <v>13</v>
      </c>
      <c r="B15" s="18" t="str" cm="1">
        <f t="array" ref="B15">_xlfn.XLOOKUP(Tabela3[[#This Row],[Categoria]],Tabela36[[#All],[Categoria]],Tabela36[[#All],[ID]])</f>
        <v>P012</v>
      </c>
      <c r="C15" s="12">
        <v>68</v>
      </c>
      <c r="D15" s="12" cm="1">
        <f t="array" ref="D15">_xlfn.IFS(_xlfn.XLOOKUP(Tabela3[[#This Row],[ID]],Tabela36[[#All],[ID]],Tabela36[[#All],[Frequência]])=1,14.2,_xlfn.XLOOKUP(Tabela3[[#This Row],[ID]],Tabela36[[#All],[ID]],Tabela36[[#All],[Frequência]])=2,28.4,_xlfn.XLOOKUP(Tabela3[[#This Row],[ID]],Tabela36[[#All],[ID]],Tabela36[[#All],[Frequência]])=3,42.6,_xlfn.XLOOKUP(Tabela3[[#This Row],[ID]],Tabela36[[#All],[ID]],Tabela36[[#All],[Frequência]])=4,56.8,_xlfn.XLOOKUP(Tabela3[[#This Row],[ID]],Tabela36[[#All],[ID]],Tabela36[[#All],[Frequência]])=5,71,_xlfn.XLOOKUP(Tabela3[[#This Row],[ID]],Tabela36[[#All],[ID]],Tabela36[[#All],[Frequência]])=6,85.2,TRUE,100)</f>
        <v>71</v>
      </c>
      <c r="E15" s="12">
        <v>88</v>
      </c>
      <c r="F15" s="12" cm="1">
        <f t="array" ref="F15">_xlfn.IFS(_xlfn.XLOOKUP(Tabela3[[#This Row],[ID]],Tabela367[ID],Tabela367[Classificação])="Legítima",100,_xlfn.XLOOKUP(Tabela3[[#This Row],[ID]],Tabela367[ID],Tabela367[Classificação])="Pouca Informação",80,_xlfn.XLOOKUP(Tabela3[[#This Row],[ID]],Tabela367[ID],Tabela367[Classificação])="Duplicada",60,_xlfn.XLOOKUP(Tabela3[[#This Row],[ID]],Tabela367[ID],Tabela367[Classificação])="Plágio",40,_xlfn.XLOOKUP(Tabela3[[#This Row],[ID]],Tabela367[ID],Tabela367[Classificação])="Suspeita",20,_xlfn.XLOOKUP(Tabela3[[#This Row],[ID]],Tabela367[ID],Tabela367[Classificação])="Falsa",0)</f>
        <v>100</v>
      </c>
      <c r="G15" s="24">
        <f>(Tabela3[[#This Row],[Impacto]]*0.4)+(Tabela3[[#This Row],[Confiabilidade]]*0.3)+(Tabela3[[#This Row],[Dificuldade]]*0.2)+(Tabela3[[#This Row],[Frequência]]*0.1)</f>
        <v>81.900000000000006</v>
      </c>
      <c r="H15" s="22" t="s">
        <v>157</v>
      </c>
      <c r="I15" s="14" t="s">
        <v>158</v>
      </c>
    </row>
    <row r="16" spans="1:9" ht="63.75" customHeight="1" x14ac:dyDescent="0.25">
      <c r="A16" s="35" t="s">
        <v>19</v>
      </c>
      <c r="B16" s="36" t="str" cm="1">
        <f t="array" ref="B16">_xlfn.XLOOKUP(Tabela3[[#This Row],[Categoria]],Tabela36[[#All],[Categoria]],Tabela36[[#All],[ID]])</f>
        <v>P013</v>
      </c>
      <c r="C16" s="12">
        <v>87</v>
      </c>
      <c r="D16" s="12" cm="1">
        <f t="array" ref="D16">_xlfn.IFS(_xlfn.XLOOKUP(Tabela3[[#This Row],[ID]],Tabela36[[#All],[ID]],Tabela36[[#All],[Frequência]])=1,14.2,_xlfn.XLOOKUP(Tabela3[[#This Row],[ID]],Tabela36[[#All],[ID]],Tabela36[[#All],[Frequência]])=2,28.4,_xlfn.XLOOKUP(Tabela3[[#This Row],[ID]],Tabela36[[#All],[ID]],Tabela36[[#All],[Frequência]])=3,42.6,_xlfn.XLOOKUP(Tabela3[[#This Row],[ID]],Tabela36[[#All],[ID]],Tabela36[[#All],[Frequência]])=4,56.8,_xlfn.XLOOKUP(Tabela3[[#This Row],[ID]],Tabela36[[#All],[ID]],Tabela36[[#All],[Frequência]])=5,71,_xlfn.XLOOKUP(Tabela3[[#This Row],[ID]],Tabela36[[#All],[ID]],Tabela36[[#All],[Frequência]])=6,85.2,TRUE,100)</f>
        <v>85.2</v>
      </c>
      <c r="E16" s="12">
        <v>50</v>
      </c>
      <c r="F16" s="12" cm="1">
        <f t="array" ref="F16">_xlfn.IFS(_xlfn.XLOOKUP(Tabela3[[#This Row],[ID]],Tabela367[ID],Tabela367[Classificação])="Legítima",100,_xlfn.XLOOKUP(Tabela3[[#This Row],[ID]],Tabela367[ID],Tabela367[Classificação])="Pouca Informação",80,_xlfn.XLOOKUP(Tabela3[[#This Row],[ID]],Tabela367[ID],Tabela367[Classificação])="Duplicada",60,_xlfn.XLOOKUP(Tabela3[[#This Row],[ID]],Tabela367[ID],Tabela367[Classificação])="Plágio",40,_xlfn.XLOOKUP(Tabela3[[#This Row],[ID]],Tabela367[ID],Tabela367[Classificação])="Suspeita",20,_xlfn.XLOOKUP(Tabela3[[#This Row],[ID]],Tabela367[ID],Tabela367[Classificação])="Falsa",0)</f>
        <v>0</v>
      </c>
      <c r="G16" s="24">
        <f>(Tabela3[[#This Row],[Impacto]]*0.4)+(Tabela3[[#This Row],[Confiabilidade]]*0.3)+(Tabela3[[#This Row],[Dificuldade]]*0.2)+(Tabela3[[#This Row],[Frequência]]*0.1)</f>
        <v>53.320000000000007</v>
      </c>
      <c r="H16" s="22" t="s">
        <v>175</v>
      </c>
      <c r="I16" s="14" t="s">
        <v>154</v>
      </c>
    </row>
    <row r="17" spans="1:9" ht="63.75" customHeight="1" x14ac:dyDescent="0.25">
      <c r="A17" s="13" t="s">
        <v>150</v>
      </c>
      <c r="B17" s="18" t="str" cm="1">
        <f t="array" ref="B17">_xlfn.XLOOKUP(Tabela3[[#This Row],[Categoria]],Tabela36[[#All],[Categoria]],Tabela36[[#All],[ID]])</f>
        <v>P014</v>
      </c>
      <c r="C17" s="12">
        <v>62</v>
      </c>
      <c r="D17" s="12" cm="1">
        <f t="array" ref="D17">_xlfn.IFS(_xlfn.XLOOKUP(Tabela3[[#This Row],[ID]],Tabela36[[#All],[ID]],Tabela36[[#All],[Frequência]])=1,14.2,_xlfn.XLOOKUP(Tabela3[[#This Row],[ID]],Tabela36[[#All],[ID]],Tabela36[[#All],[Frequência]])=2,28.4,_xlfn.XLOOKUP(Tabela3[[#This Row],[ID]],Tabela36[[#All],[ID]],Tabela36[[#All],[Frequência]])=3,42.6,_xlfn.XLOOKUP(Tabela3[[#This Row],[ID]],Tabela36[[#All],[ID]],Tabela36[[#All],[Frequência]])=4,56.8,_xlfn.XLOOKUP(Tabela3[[#This Row],[ID]],Tabela36[[#All],[ID]],Tabela36[[#All],[Frequência]])=5,71,_xlfn.XLOOKUP(Tabela3[[#This Row],[ID]],Tabela36[[#All],[ID]],Tabela36[[#All],[Frequência]])=6,85.2,TRUE,100)</f>
        <v>100</v>
      </c>
      <c r="E17" s="12">
        <v>72</v>
      </c>
      <c r="F17" s="12" cm="1">
        <f t="array" ref="F17">_xlfn.IFS(_xlfn.XLOOKUP(Tabela3[[#This Row],[ID]],Tabela367[ID],Tabela367[Classificação])="Legítima",100,_xlfn.XLOOKUP(Tabela3[[#This Row],[ID]],Tabela367[ID],Tabela367[Classificação])="Pouca Informação",80,_xlfn.XLOOKUP(Tabela3[[#This Row],[ID]],Tabela367[ID],Tabela367[Classificação])="Duplicada",60,_xlfn.XLOOKUP(Tabela3[[#This Row],[ID]],Tabela367[ID],Tabela367[Classificação])="Plágio",40,_xlfn.XLOOKUP(Tabela3[[#This Row],[ID]],Tabela367[ID],Tabela367[Classificação])="Suspeita",20,_xlfn.XLOOKUP(Tabela3[[#This Row],[ID]],Tabela367[ID],Tabela367[Classificação])="Falsa",0)</f>
        <v>100</v>
      </c>
      <c r="G17" s="24">
        <f>(Tabela3[[#This Row],[Impacto]]*0.4)+(Tabela3[[#This Row],[Confiabilidade]]*0.3)+(Tabela3[[#This Row],[Dificuldade]]*0.2)+(Tabela3[[#This Row],[Frequência]]*0.1)</f>
        <v>79.2</v>
      </c>
      <c r="H17" s="22" t="s">
        <v>173</v>
      </c>
      <c r="I17" s="14" t="s">
        <v>174</v>
      </c>
    </row>
    <row r="18" spans="1:9" ht="63.75" customHeight="1" x14ac:dyDescent="0.25">
      <c r="A18" s="13" t="s">
        <v>149</v>
      </c>
      <c r="B18" s="18" t="str" cm="1">
        <f t="array" ref="B18">_xlfn.XLOOKUP(Tabela3[[#This Row],[Categoria]],Tabela36[[#All],[Categoria]],Tabela36[[#All],[ID]])</f>
        <v>P015</v>
      </c>
      <c r="C18" s="12">
        <v>78</v>
      </c>
      <c r="D18" s="12" cm="1">
        <f t="array" ref="D18">_xlfn.IFS(_xlfn.XLOOKUP(Tabela3[[#This Row],[ID]],Tabela36[[#All],[ID]],Tabela36[[#All],[Frequência]])=1,14.2,_xlfn.XLOOKUP(Tabela3[[#This Row],[ID]],Tabela36[[#All],[ID]],Tabela36[[#All],[Frequência]])=2,28.4,_xlfn.XLOOKUP(Tabela3[[#This Row],[ID]],Tabela36[[#All],[ID]],Tabela36[[#All],[Frequência]])=3,42.6,_xlfn.XLOOKUP(Tabela3[[#This Row],[ID]],Tabela36[[#All],[ID]],Tabela36[[#All],[Frequência]])=4,56.8,_xlfn.XLOOKUP(Tabela3[[#This Row],[ID]],Tabela36[[#All],[ID]],Tabela36[[#All],[Frequência]])=5,71,_xlfn.XLOOKUP(Tabela3[[#This Row],[ID]],Tabela36[[#All],[ID]],Tabela36[[#All],[Frequência]])=6,85.2,TRUE,100)</f>
        <v>14.2</v>
      </c>
      <c r="E18" s="12">
        <v>65</v>
      </c>
      <c r="F18" s="12" cm="1">
        <f t="array" ref="F18">_xlfn.IFS(_xlfn.XLOOKUP(Tabela3[[#This Row],[ID]],Tabela367[ID],Tabela367[Classificação])="Legítima",100,_xlfn.XLOOKUP(Tabela3[[#This Row],[ID]],Tabela367[ID],Tabela367[Classificação])="Pouca Informação",80,_xlfn.XLOOKUP(Tabela3[[#This Row],[ID]],Tabela367[ID],Tabela367[Classificação])="Duplicada",60,_xlfn.XLOOKUP(Tabela3[[#This Row],[ID]],Tabela367[ID],Tabela367[Classificação])="Plágio",40,_xlfn.XLOOKUP(Tabela3[[#This Row],[ID]],Tabela367[ID],Tabela367[Classificação])="Suspeita",20,_xlfn.XLOOKUP(Tabela3[[#This Row],[ID]],Tabela367[ID],Tabela367[Classificação])="Falsa",0)</f>
        <v>100</v>
      </c>
      <c r="G18" s="24">
        <f>(Tabela3[[#This Row],[Impacto]]*0.4)+(Tabela3[[#This Row],[Confiabilidade]]*0.3)+(Tabela3[[#This Row],[Dificuldade]]*0.2)+(Tabela3[[#This Row],[Frequência]]*0.1)</f>
        <v>75.62</v>
      </c>
      <c r="H18" s="22" t="s">
        <v>171</v>
      </c>
      <c r="I18" s="14" t="s">
        <v>172</v>
      </c>
    </row>
    <row r="19" spans="1:9" ht="63.75" customHeight="1" x14ac:dyDescent="0.25">
      <c r="A19" s="13" t="s">
        <v>95</v>
      </c>
      <c r="B19" s="18" t="str" cm="1">
        <f t="array" ref="B19">_xlfn.XLOOKUP(Tabela3[[#This Row],[Categoria]],Tabela36[[#All],[Categoria]],Tabela36[[#All],[ID]])</f>
        <v>P016</v>
      </c>
      <c r="C19" s="12">
        <v>90</v>
      </c>
      <c r="D19" s="12" cm="1">
        <f t="array" ref="D19">_xlfn.IFS(_xlfn.XLOOKUP(Tabela3[[#This Row],[ID]],Tabela36[[#All],[ID]],Tabela36[[#All],[Frequência]])=1,14.2,_xlfn.XLOOKUP(Tabela3[[#This Row],[ID]],Tabela36[[#All],[ID]],Tabela36[[#All],[Frequência]])=2,28.4,_xlfn.XLOOKUP(Tabela3[[#This Row],[ID]],Tabela36[[#All],[ID]],Tabela36[[#All],[Frequência]])=3,42.6,_xlfn.XLOOKUP(Tabela3[[#This Row],[ID]],Tabela36[[#All],[ID]],Tabela36[[#All],[Frequência]])=4,56.8,_xlfn.XLOOKUP(Tabela3[[#This Row],[ID]],Tabela36[[#All],[ID]],Tabela36[[#All],[Frequência]])=5,71,_xlfn.XLOOKUP(Tabela3[[#This Row],[ID]],Tabela36[[#All],[ID]],Tabela36[[#All],[Frequência]])=6,85.2,TRUE,100)</f>
        <v>28.4</v>
      </c>
      <c r="E19" s="12">
        <v>55</v>
      </c>
      <c r="F19" s="12" cm="1">
        <f t="array" ref="F19">_xlfn.IFS(_xlfn.XLOOKUP(Tabela3[[#This Row],[ID]],Tabela367[ID],Tabela367[Classificação])="Legítima",100,_xlfn.XLOOKUP(Tabela3[[#This Row],[ID]],Tabela367[ID],Tabela367[Classificação])="Pouca Informação",80,_xlfn.XLOOKUP(Tabela3[[#This Row],[ID]],Tabela367[ID],Tabela367[Classificação])="Duplicada",60,_xlfn.XLOOKUP(Tabela3[[#This Row],[ID]],Tabela367[ID],Tabela367[Classificação])="Plágio",40,_xlfn.XLOOKUP(Tabela3[[#This Row],[ID]],Tabela367[ID],Tabela367[Classificação])="Suspeita",20,_xlfn.XLOOKUP(Tabela3[[#This Row],[ID]],Tabela367[ID],Tabela367[Classificação])="Falsa",0)</f>
        <v>100</v>
      </c>
      <c r="G19" s="24">
        <f>(Tabela3[[#This Row],[Impacto]]*0.4)+(Tabela3[[#This Row],[Confiabilidade]]*0.3)+(Tabela3[[#This Row],[Dificuldade]]*0.2)+(Tabela3[[#This Row],[Frequência]]*0.1)</f>
        <v>79.84</v>
      </c>
      <c r="H19" s="22" t="s">
        <v>167</v>
      </c>
      <c r="I19" s="14" t="s">
        <v>165</v>
      </c>
    </row>
    <row r="20" spans="1:9" ht="63.75" customHeight="1" x14ac:dyDescent="0.25">
      <c r="A20" s="13" t="s">
        <v>12</v>
      </c>
      <c r="B20" s="18" t="str" cm="1">
        <f t="array" ref="B20">_xlfn.XLOOKUP(Tabela3[[#This Row],[Categoria]],Tabela36[[#All],[Categoria]],Tabela36[[#All],[ID]])</f>
        <v>P017</v>
      </c>
      <c r="C20" s="12">
        <v>72</v>
      </c>
      <c r="D20" s="12" cm="1">
        <f t="array" ref="D20">_xlfn.IFS(_xlfn.XLOOKUP(Tabela3[[#This Row],[ID]],Tabela36[[#All],[ID]],Tabela36[[#All],[Frequência]])=1,14.2,_xlfn.XLOOKUP(Tabela3[[#This Row],[ID]],Tabela36[[#All],[ID]],Tabela36[[#All],[Frequência]])=2,28.4,_xlfn.XLOOKUP(Tabela3[[#This Row],[ID]],Tabela36[[#All],[ID]],Tabela36[[#All],[Frequência]])=3,42.6,_xlfn.XLOOKUP(Tabela3[[#This Row],[ID]],Tabela36[[#All],[ID]],Tabela36[[#All],[Frequência]])=4,56.8,_xlfn.XLOOKUP(Tabela3[[#This Row],[ID]],Tabela36[[#All],[ID]],Tabela36[[#All],[Frequência]])=5,71,_xlfn.XLOOKUP(Tabela3[[#This Row],[ID]],Tabela36[[#All],[ID]],Tabela36[[#All],[Frequência]])=6,85.2,TRUE,100)</f>
        <v>42.6</v>
      </c>
      <c r="E20" s="12">
        <v>75</v>
      </c>
      <c r="F20" s="12" cm="1">
        <f t="array" ref="F20">_xlfn.IFS(_xlfn.XLOOKUP(Tabela3[[#This Row],[ID]],Tabela367[ID],Tabela367[Classificação])="Legítima",100,_xlfn.XLOOKUP(Tabela3[[#This Row],[ID]],Tabela367[ID],Tabela367[Classificação])="Pouca Informação",80,_xlfn.XLOOKUP(Tabela3[[#This Row],[ID]],Tabela367[ID],Tabela367[Classificação])="Duplicada",60,_xlfn.XLOOKUP(Tabela3[[#This Row],[ID]],Tabela367[ID],Tabela367[Classificação])="Plágio",40,_xlfn.XLOOKUP(Tabela3[[#This Row],[ID]],Tabela367[ID],Tabela367[Classificação])="Suspeita",20,_xlfn.XLOOKUP(Tabela3[[#This Row],[ID]],Tabela367[ID],Tabela367[Classificação])="Falsa",0)</f>
        <v>100</v>
      </c>
      <c r="G20" s="24">
        <f>(Tabela3[[#This Row],[Impacto]]*0.4)+(Tabela3[[#This Row],[Confiabilidade]]*0.3)+(Tabela3[[#This Row],[Dificuldade]]*0.2)+(Tabela3[[#This Row],[Frequência]]*0.1)</f>
        <v>78.06</v>
      </c>
      <c r="H20" s="22" t="s">
        <v>156</v>
      </c>
      <c r="I20" s="14" t="s">
        <v>154</v>
      </c>
    </row>
    <row r="21" spans="1:9" ht="63.75" customHeight="1" thickBot="1" x14ac:dyDescent="0.3">
      <c r="A21" s="10" t="s">
        <v>11</v>
      </c>
      <c r="B21" s="37" t="str" cm="1">
        <f t="array" ref="B21">_xlfn.XLOOKUP(Tabela3[[#This Row],[Categoria]],Tabela36[[#All],[Categoria]],Tabela36[[#All],[ID]])</f>
        <v>P018</v>
      </c>
      <c r="C21" s="16">
        <v>55</v>
      </c>
      <c r="D21" s="16" cm="1">
        <f t="array" ref="D21">_xlfn.IFS(_xlfn.XLOOKUP(Tabela3[[#This Row],[ID]],Tabela36[[#All],[ID]],Tabela36[[#All],[Frequência]])=1,14.2,_xlfn.XLOOKUP(Tabela3[[#This Row],[ID]],Tabela36[[#All],[ID]],Tabela36[[#All],[Frequência]])=2,28.4,_xlfn.XLOOKUP(Tabela3[[#This Row],[ID]],Tabela36[[#All],[ID]],Tabela36[[#All],[Frequência]])=3,42.6,_xlfn.XLOOKUP(Tabela3[[#This Row],[ID]],Tabela36[[#All],[ID]],Tabela36[[#All],[Frequência]])=4,56.8,_xlfn.XLOOKUP(Tabela3[[#This Row],[ID]],Tabela36[[#All],[ID]],Tabela36[[#All],[Frequência]])=5,71,_xlfn.XLOOKUP(Tabela3[[#This Row],[ID]],Tabela36[[#All],[ID]],Tabela36[[#All],[Frequência]])=6,85.2,TRUE,100)</f>
        <v>56.8</v>
      </c>
      <c r="E21" s="16">
        <v>80</v>
      </c>
      <c r="F21" s="16" cm="1">
        <f t="array" ref="F21">_xlfn.IFS(_xlfn.XLOOKUP(Tabela3[[#This Row],[ID]],Tabela367[ID],Tabela367[Classificação])="Legítima",100,_xlfn.XLOOKUP(Tabela3[[#This Row],[ID]],Tabela367[ID],Tabela367[Classificação])="Pouca Informação",80,_xlfn.XLOOKUP(Tabela3[[#This Row],[ID]],Tabela367[ID],Tabela367[Classificação])="Duplicada",60,_xlfn.XLOOKUP(Tabela3[[#This Row],[ID]],Tabela367[ID],Tabela367[Classificação])="Plágio",40,_xlfn.XLOOKUP(Tabela3[[#This Row],[ID]],Tabela367[ID],Tabela367[Classificação])="Suspeita",20,_xlfn.XLOOKUP(Tabela3[[#This Row],[ID]],Tabela367[ID],Tabela367[Classificação])="Falsa",0)</f>
        <v>100</v>
      </c>
      <c r="G21" s="30">
        <f>(Tabela3[[#This Row],[Impacto]]*0.4)+(Tabela3[[#This Row],[Confiabilidade]]*0.3)+(Tabela3[[#This Row],[Dificuldade]]*0.2)+(Tabela3[[#This Row],[Frequência]]*0.1)</f>
        <v>73.680000000000007</v>
      </c>
      <c r="H21" s="39" t="s">
        <v>155</v>
      </c>
      <c r="I21" s="17" t="s">
        <v>154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Validação</vt:lpstr>
      <vt:lpstr>Postagem</vt:lpstr>
      <vt:lpstr>Ações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Zorzetto Oliveira</dc:creator>
  <cp:lastModifiedBy>Giovanni Zorzetto Oliveira</cp:lastModifiedBy>
  <dcterms:created xsi:type="dcterms:W3CDTF">2026-08-24T20:20:58Z</dcterms:created>
  <dcterms:modified xsi:type="dcterms:W3CDTF">2026-08-26T19:52:04Z</dcterms:modified>
</cp:coreProperties>
</file>